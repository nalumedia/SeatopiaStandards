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mega-3 Value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<sst xmlns="http://schemas.openxmlformats.org/spreadsheetml/2006/main" count="76" uniqueCount="74">
  <si>
    <t xml:space="preserve">Seatopia — Omega-3 Value Analysis ($ per Omega-3)</t>
  </si>
  <si>
    <t xml:space="preserve">MSRP ÷ omega-3 content per package · All omega values derived from per-100g lab data · Seatopia Omega Standard</t>
  </si>
  <si>
    <t xml:space="preserve">SKU</t>
  </si>
  <si>
    <t xml:space="preserve">Product</t>
  </si>
  <si>
    <t xml:space="preserve">Pkg (oz)</t>
  </si>
  <si>
    <t xml:space="preserve">Serv (oz)</t>
  </si>
  <si>
    <t xml:space="preserve">Servings
per Pkg</t>
  </si>
  <si>
    <t xml:space="preserve">MSRP</t>
  </si>
  <si>
    <t xml:space="preserve">$ per
Serving</t>
  </si>
  <si>
    <t xml:space="preserve">EPA+DHA
per Serv (mg)</t>
  </si>
  <si>
    <t xml:space="preserve">Total ω-3
per Serv (mg)</t>
  </si>
  <si>
    <t xml:space="preserve">EPA+DHA
per Pkg (mg)</t>
  </si>
  <si>
    <t xml:space="preserve">Total ω-3
per Pkg (mg)</t>
  </si>
  <si>
    <t xml:space="preserve">$ per 1g
EPA+DHA</t>
  </si>
  <si>
    <t xml:space="preserve">$ per 1g
Total ω-3</t>
  </si>
  <si>
    <t xml:space="preserve">Value
Rank</t>
  </si>
  <si>
    <t xml:space="preserve">SF-MCA-KGS-SHP-001</t>
  </si>
  <si>
    <t xml:space="preserve">Mt. Cook, Alpine Salmon (7oz)</t>
  </si>
  <si>
    <t xml:space="preserve">SF-OKS-KGS-SHP-001</t>
  </si>
  <si>
    <t xml:space="preserve">Ora King, King Salmon (7.5oz)</t>
  </si>
  <si>
    <t xml:space="preserve">SF-BGB-KGS-SHP-001</t>
  </si>
  <si>
    <t xml:space="preserve">Big Glory Bay, King Salmon (8oz)</t>
  </si>
  <si>
    <t xml:space="preserve">SF-BAK-ATS-SHP-002</t>
  </si>
  <si>
    <t xml:space="preserve">Bakkafrost, Atlantic Salmon (6oz)</t>
  </si>
  <si>
    <t xml:space="preserve">SF-CLB-STT-SHP-002</t>
  </si>
  <si>
    <t xml:space="preserve">Caleta Bay, A&amp;I Steelhead Loin (12oz)</t>
  </si>
  <si>
    <t xml:space="preserve">SF-CLB-STT-SHP-001</t>
  </si>
  <si>
    <t xml:space="preserve">Caleta Bay, Cold Smoked Steelhead (4oz)</t>
  </si>
  <si>
    <t xml:space="preserve">SF-CLB-STT-SHP-009</t>
  </si>
  <si>
    <t xml:space="preserve">Caleta Bay, Steelhead (6oz)</t>
  </si>
  <si>
    <t xml:space="preserve">SF-TAR-BTS-SHP-001</t>
  </si>
  <si>
    <t xml:space="preserve">Tarakan, Black Tiger Shrimp (16oz)</t>
  </si>
  <si>
    <t xml:space="preserve">SF-EST-BRZ-SHP-001</t>
  </si>
  <si>
    <t xml:space="preserve">Esteros Lubimar, Branzino (6oz)</t>
  </si>
  <si>
    <t xml:space="preserve">SF-EST-BRE-SHP-001</t>
  </si>
  <si>
    <t xml:space="preserve">Esteros Lubimar, Bream (6oz)</t>
  </si>
  <si>
    <t xml:space="preserve">SF-AUS-BRM-SHP-001</t>
  </si>
  <si>
    <t xml:space="preserve">Australis, Barramundi (6oz)</t>
  </si>
  <si>
    <t xml:space="preserve">SF-AUS-BRM-SHP-005</t>
  </si>
  <si>
    <t xml:space="preserve">Australis, Barramundi (7-9oz)</t>
  </si>
  <si>
    <t xml:space="preserve">SF-AUS-BRM-SHP-009</t>
  </si>
  <si>
    <t xml:space="preserve">Australis, Barramundi (3-5 filet)</t>
  </si>
  <si>
    <t xml:space="preserve">SF-HVF-STT-BLK-003</t>
  </si>
  <si>
    <t xml:space="preserve">Hudson Valley, Pastrami Smoked (4oz)</t>
  </si>
  <si>
    <t xml:space="preserve">SF-HVF-STT-SHP-001</t>
  </si>
  <si>
    <t xml:space="preserve">Hudson Valley, Steelhead (6oz)</t>
  </si>
  <si>
    <t xml:space="preserve">SF-MCF-RBT-BLK-001</t>
  </si>
  <si>
    <t xml:space="preserve">McFarland Springs, Trout Dogs (12.8oz)</t>
  </si>
  <si>
    <t xml:space="preserve">SF-SEC-SCL-SHP-001</t>
  </si>
  <si>
    <t xml:space="preserve">Seacorp, Half Shell Scallops (7oz)</t>
  </si>
  <si>
    <t xml:space="preserve">SF-SEC-SCL-SHP-009</t>
  </si>
  <si>
    <t xml:space="preserve">Seacorp, Scallop Meat (16oz)</t>
  </si>
  <si>
    <t xml:space="preserve">SF-SIC-RBT-BLK-001</t>
  </si>
  <si>
    <t xml:space="preserve">Smoke in Chimneys, Whole Trout (12oz)</t>
  </si>
  <si>
    <t xml:space="preserve">SF-SIC-RBT-BLK-006</t>
  </si>
  <si>
    <t xml:space="preserve">Smoke in Chimneys, Smoked Filet (5.5oz)</t>
  </si>
  <si>
    <t xml:space="preserve">SF-SIC-RBT-BLK-005</t>
  </si>
  <si>
    <t xml:space="preserve">Smoke in Chimneys, Smoked Fillet (5.5oz)</t>
  </si>
  <si>
    <t xml:space="preserve">SF-KFC-YLT-SHP-001</t>
  </si>
  <si>
    <t xml:space="preserve">Kingfish Co., Yellowtail (Split Loins 8oz)</t>
  </si>
  <si>
    <t xml:space="preserve">SF-MAR-OST-BLK-001</t>
  </si>
  <si>
    <t xml:space="preserve">Marshallberg, Osetra Caviar (1oz)</t>
  </si>
  <si>
    <t xml:space="preserve">SF-YRV-SLC-BLK-001</t>
  </si>
  <si>
    <t xml:space="preserve">Yarra Valley, Salmon Caviar (1oz)</t>
  </si>
  <si>
    <t xml:space="preserve">Summary — Best Value by $ per 1g EPA+DHA (lower = better)</t>
  </si>
  <si>
    <t xml:space="preserve">Rank</t>
  </si>
  <si>
    <t xml:space="preserve">$ / 1g EPA+DHA</t>
  </si>
  <si>
    <t xml:space="preserve">EPA+DHA / Serving</t>
  </si>
  <si>
    <t xml:space="preserve">$ / Serving</t>
  </si>
  <si>
    <t xml:space="preserve">Notes</t>
  </si>
  <si>
    <t xml:space="preserve">• All omega-3 values derived from per-100g lab-verified data (Seatopia Omega Standard)</t>
  </si>
  <si>
    <t xml:space="preserve">• EPA+DHA = marine omega-3 (primary bioactive). ALA = plant-form omega-3 (lower bioavailability)</t>
  </si>
  <si>
    <t xml:space="preserve">• Blue values = inputs (editable). Black values = formulas. Change MSRP or serving size and values recalculate.</t>
  </si>
  <si>
    <t xml:space="preserve">• $ per 1g EPA+DHA = cost to get 1 gram of marine omega-3 from this package at MSRP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</si>
</sst>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$#,##0.00"/>
    <numFmt numFmtId="167" formatCode="#,##0"/>
    <numFmt numFmtId="168" formatCode="#,##0&quot; mg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35566"/>
      <name val="Arial"/>
      <family val="0"/>
      <charset val="1"/>
    </font>
    <font>
      <i val="true"/>
      <sz val="9"/>
      <color rgb="FF4B799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3355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8B57"/>
      <name val="Arial"/>
      <family val="0"/>
      <charset val="1"/>
    </font>
    <font>
      <b val="true"/>
      <sz val="10"/>
      <color rgb="FF335566"/>
      <name val="Arial"/>
      <family val="0"/>
      <charset val="1"/>
    </font>
    <font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5566"/>
        <bgColor rgb="FF666666"/>
      </patternFill>
    </fill>
    <fill>
      <patternFill patternType="solid">
        <fgColor rgb="FFF5F8FA"/>
        <bgColor rgb="FFFFFFFF"/>
      </patternFill>
    </fill>
    <fill>
      <patternFill patternType="solid">
        <fgColor rgb="FF2E8B57"/>
        <bgColor rgb="FF4B7991"/>
      </patternFill>
    </fill>
    <fill>
      <patternFill patternType="solid">
        <fgColor rgb="FFE2EFDA"/>
        <bgColor rgb="FFF5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B7991"/>
      <rgbColor rgb="FF9999FF"/>
      <rgbColor rgb="FF993366"/>
      <rgbColor rgb="FFF5F8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8B57"/>
      <rgbColor rgb="FF003300"/>
      <rgbColor rgb="FF333300"/>
      <rgbColor rgb="FF993300"/>
      <rgbColor rgb="FF993366"/>
      <rgbColor rgb="FF3355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11" min="8" style="0" width="13"/>
    <col collapsed="false" customWidth="true" hidden="false" outlineLevel="0" max="13" min="12" style="0" width="11"/>
    <col collapsed="false" customWidth="true" hidden="false" outlineLevel="0" max="14" min="14" style="0" width="8"/>
    <col collapsed="false" customWidth="true" hidden="true" outlineLevel="0" max="17" min="15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6" t="n">
        <v>7</v>
      </c>
      <c r="D5" s="6" t="n">
        <v>7</v>
      </c>
      <c r="E5" s="7" t="n">
        <f aca="false">C5/D5</f>
        <v>1</v>
      </c>
      <c r="F5" s="8" t="n">
        <v>21.99</v>
      </c>
      <c r="G5" s="9" t="n">
        <f aca="false">F5/E5</f>
        <v>21.99</v>
      </c>
      <c r="H5" s="10" t="n">
        <f aca="false">(O5+P5)*(D5*28.3495)/100</f>
        <v>2617.509335</v>
      </c>
      <c r="I5" s="10" t="n">
        <f aca="false">(O5+P5+Q5)*(D5*28.3495)/100</f>
        <v>4879.799435</v>
      </c>
      <c r="J5" s="10" t="n">
        <f aca="false">(O5+P5)*(C5*28.3495)/100</f>
        <v>2617.509335</v>
      </c>
      <c r="K5" s="10" t="n">
        <f aca="false">(O5+P5+Q5)*(C5*28.3495)/100</f>
        <v>4879.799435</v>
      </c>
      <c r="L5" s="11" t="n">
        <f aca="false">IF(J5&gt;0, F5/(J5/1000), "-")</f>
        <v>8.40111617023135</v>
      </c>
      <c r="M5" s="11" t="n">
        <f aca="false">IF(K5&gt;0, F5/(K5/1000), "-")</f>
        <v>4.50633274848928</v>
      </c>
      <c r="N5" s="12" t="n">
        <f aca="false">RANK(L5,L$5:L$28,1)</f>
        <v>7</v>
      </c>
      <c r="O5" s="0" t="n">
        <v>457</v>
      </c>
      <c r="P5" s="0" t="n">
        <v>862</v>
      </c>
      <c r="Q5" s="0" t="n">
        <v>1140</v>
      </c>
    </row>
    <row r="6" customFormat="false" ht="15" hidden="false" customHeight="false" outlineLevel="0" collapsed="false">
      <c r="A6" s="13" t="s">
        <v>18</v>
      </c>
      <c r="B6" s="14" t="s">
        <v>19</v>
      </c>
      <c r="C6" s="15" t="n">
        <v>7.5</v>
      </c>
      <c r="D6" s="15" t="n">
        <v>7.5</v>
      </c>
      <c r="E6" s="16" t="n">
        <f aca="false">C6/D6</f>
        <v>1</v>
      </c>
      <c r="F6" s="17" t="n">
        <v>25.49</v>
      </c>
      <c r="G6" s="18" t="n">
        <f aca="false">F6/E6</f>
        <v>25.49</v>
      </c>
      <c r="H6" s="19" t="n">
        <f aca="false">(O6+P6)*(D6*28.3495)/100</f>
        <v>3414.697275</v>
      </c>
      <c r="I6" s="19" t="n">
        <f aca="false">(O6+P6+Q6)*(D6*28.3495)/100</f>
        <v>5987.4144</v>
      </c>
      <c r="J6" s="19" t="n">
        <f aca="false">(O6+P6)*(C6*28.3495)/100</f>
        <v>3414.697275</v>
      </c>
      <c r="K6" s="19" t="n">
        <f aca="false">(O6+P6+Q6)*(C6*28.3495)/100</f>
        <v>5987.4144</v>
      </c>
      <c r="L6" s="20" t="n">
        <f aca="false">IF(J6&gt;0, F6/(J6/1000), "-")</f>
        <v>7.46479056478001</v>
      </c>
      <c r="M6" s="20" t="n">
        <f aca="false">IF(K6&gt;0, F6/(K6/1000), "-")</f>
        <v>4.2572633689761</v>
      </c>
      <c r="N6" s="21" t="n">
        <f aca="false">RANK(L6,L$5:L$28,1)</f>
        <v>5</v>
      </c>
      <c r="O6" s="0" t="n">
        <v>536</v>
      </c>
      <c r="P6" s="0" t="n">
        <v>1070</v>
      </c>
      <c r="Q6" s="0" t="n">
        <v>1210</v>
      </c>
    </row>
    <row r="7" customFormat="false" ht="15" hidden="false" customHeight="false" outlineLevel="0" collapsed="false">
      <c r="A7" s="4" t="s">
        <v>20</v>
      </c>
      <c r="B7" s="5" t="s">
        <v>21</v>
      </c>
      <c r="C7" s="6" t="n">
        <v>8</v>
      </c>
      <c r="D7" s="6" t="n">
        <v>8</v>
      </c>
      <c r="E7" s="7" t="n">
        <f aca="false">C7/D7</f>
        <v>1</v>
      </c>
      <c r="F7" s="8" t="n">
        <v>38.51</v>
      </c>
      <c r="G7" s="9" t="n">
        <f aca="false">F7/E7</f>
        <v>38.51</v>
      </c>
      <c r="H7" s="10" t="n">
        <f aca="false">(O7+P7)*(D7*28.3495)/100</f>
        <v>3245.45076</v>
      </c>
      <c r="I7" s="10" t="n">
        <f aca="false">(O7+P7+Q7)*(D7*28.3495)/100</f>
        <v>5626.80876</v>
      </c>
      <c r="J7" s="10" t="n">
        <f aca="false">(O7+P7)*(C7*28.3495)/100</f>
        <v>3245.45076</v>
      </c>
      <c r="K7" s="10" t="n">
        <f aca="false">(O7+P7+Q7)*(C7*28.3495)/100</f>
        <v>5626.80876</v>
      </c>
      <c r="L7" s="11" t="n">
        <f aca="false">IF(J7&gt;0, F7/(J7/1000), "-")</f>
        <v>11.8658401706886</v>
      </c>
      <c r="M7" s="11" t="n">
        <f aca="false">IF(K7&gt;0, F7/(K7/1000), "-")</f>
        <v>6.84402147692683</v>
      </c>
      <c r="N7" s="12" t="n">
        <f aca="false">RANK(L7,L$5:L$28,1)</f>
        <v>9</v>
      </c>
      <c r="O7" s="0" t="n">
        <v>546</v>
      </c>
      <c r="P7" s="0" t="n">
        <v>885</v>
      </c>
      <c r="Q7" s="0" t="n">
        <v>1050</v>
      </c>
    </row>
    <row r="8" customFormat="false" ht="15" hidden="false" customHeight="false" outlineLevel="0" collapsed="false">
      <c r="A8" s="13" t="s">
        <v>22</v>
      </c>
      <c r="B8" s="14" t="s">
        <v>23</v>
      </c>
      <c r="C8" s="15" t="n">
        <v>6</v>
      </c>
      <c r="D8" s="15" t="n">
        <v>6</v>
      </c>
      <c r="E8" s="16" t="n">
        <f aca="false">C8/D8</f>
        <v>1</v>
      </c>
      <c r="F8" s="17" t="n">
        <v>9.1</v>
      </c>
      <c r="G8" s="18" t="n">
        <f aca="false">F8/E8</f>
        <v>9.1</v>
      </c>
      <c r="H8" s="19" t="n">
        <f aca="false">(O8+P8)*(D8*28.3495)/100</f>
        <v>2218.06488</v>
      </c>
      <c r="I8" s="19" t="n">
        <f aca="false">(O8+P8+Q8)*(D8*28.3495)/100</f>
        <v>3833.98638</v>
      </c>
      <c r="J8" s="19" t="n">
        <f aca="false">(O8+P8)*(C8*28.3495)/100</f>
        <v>2218.06488</v>
      </c>
      <c r="K8" s="19" t="n">
        <f aca="false">(O8+P8+Q8)*(C8*28.3495)/100</f>
        <v>3833.98638</v>
      </c>
      <c r="L8" s="20" t="n">
        <f aca="false">IF(J8&gt;0, F8/(J8/1000), "-")</f>
        <v>4.10267530136449</v>
      </c>
      <c r="M8" s="20" t="n">
        <f aca="false">IF(K8&gt;0, F8/(K8/1000), "-")</f>
        <v>2.3735086925374</v>
      </c>
      <c r="N8" s="21" t="n">
        <f aca="false">RANK(L8,L$5:L$28,1)</f>
        <v>1</v>
      </c>
      <c r="O8" s="0" t="n">
        <v>471</v>
      </c>
      <c r="P8" s="0" t="n">
        <v>833</v>
      </c>
      <c r="Q8" s="0" t="n">
        <v>950</v>
      </c>
    </row>
    <row r="9" customFormat="false" ht="15" hidden="false" customHeight="false" outlineLevel="0" collapsed="false">
      <c r="A9" s="4" t="s">
        <v>24</v>
      </c>
      <c r="B9" s="5" t="s">
        <v>25</v>
      </c>
      <c r="C9" s="6" t="n">
        <v>12</v>
      </c>
      <c r="D9" s="6" t="n">
        <v>6</v>
      </c>
      <c r="E9" s="7" t="n">
        <f aca="false">C9/D9</f>
        <v>2</v>
      </c>
      <c r="F9" s="8" t="n">
        <v>20.15</v>
      </c>
      <c r="G9" s="9" t="n">
        <f aca="false">F9/E9</f>
        <v>10.075</v>
      </c>
      <c r="H9" s="10" t="n">
        <f aca="false">(O9+P9)*(D9*28.3495)/100</f>
        <v>1447.52547</v>
      </c>
      <c r="I9" s="10" t="n">
        <f aca="false">(O9+P9+Q9)*(D9*28.3495)/100</f>
        <v>3709.81557</v>
      </c>
      <c r="J9" s="10" t="n">
        <f aca="false">(O9+P9)*(C9*28.3495)/100</f>
        <v>2895.05094</v>
      </c>
      <c r="K9" s="10" t="n">
        <f aca="false">(O9+P9+Q9)*(C9*28.3495)/100</f>
        <v>7419.63114</v>
      </c>
      <c r="L9" s="11" t="n">
        <f aca="false">IF(J9&gt;0, F9/(J9/1000), "-")</f>
        <v>6.96015386865697</v>
      </c>
      <c r="M9" s="11" t="n">
        <f aca="false">IF(K9&gt;0, F9/(K9/1000), "-")</f>
        <v>2.71576842834804</v>
      </c>
      <c r="N9" s="12" t="n">
        <f aca="false">RANK(L9,L$5:L$28,1)</f>
        <v>3</v>
      </c>
      <c r="O9" s="0" t="n">
        <v>262</v>
      </c>
      <c r="P9" s="0" t="n">
        <v>589</v>
      </c>
      <c r="Q9" s="0" t="n">
        <v>1330</v>
      </c>
    </row>
    <row r="10" customFormat="false" ht="15" hidden="false" customHeight="false" outlineLevel="0" collapsed="false">
      <c r="A10" s="13" t="s">
        <v>26</v>
      </c>
      <c r="B10" s="14" t="s">
        <v>27</v>
      </c>
      <c r="C10" s="15" t="n">
        <v>4</v>
      </c>
      <c r="D10" s="15" t="n">
        <v>4</v>
      </c>
      <c r="E10" s="16" t="n">
        <f aca="false">C10/D10</f>
        <v>1</v>
      </c>
      <c r="F10" s="17" t="n">
        <v>8.04</v>
      </c>
      <c r="G10" s="18" t="n">
        <f aca="false">F10/E10</f>
        <v>8.04</v>
      </c>
      <c r="H10" s="19" t="n">
        <f aca="false">(O10+P10)*(D10*28.3495)/100</f>
        <v>965.01698</v>
      </c>
      <c r="I10" s="19" t="n">
        <f aca="false">(O10+P10+Q10)*(D10*28.3495)/100</f>
        <v>2473.21038</v>
      </c>
      <c r="J10" s="19" t="n">
        <f aca="false">(O10+P10)*(C10*28.3495)/100</f>
        <v>965.01698</v>
      </c>
      <c r="K10" s="19" t="n">
        <f aca="false">(O10+P10+Q10)*(C10*28.3495)/100</f>
        <v>2473.21038</v>
      </c>
      <c r="L10" s="20" t="n">
        <f aca="false">IF(J10&gt;0, F10/(J10/1000), "-")</f>
        <v>8.33145961846184</v>
      </c>
      <c r="M10" s="20" t="n">
        <f aca="false">IF(K10&gt;0, F10/(K10/1000), "-")</f>
        <v>3.25083545864788</v>
      </c>
      <c r="N10" s="21" t="n">
        <f aca="false">RANK(L10,L$5:L$28,1)</f>
        <v>6</v>
      </c>
      <c r="O10" s="0" t="n">
        <v>262</v>
      </c>
      <c r="P10" s="0" t="n">
        <v>589</v>
      </c>
      <c r="Q10" s="0" t="n">
        <v>1330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6" t="n">
        <v>6</v>
      </c>
      <c r="D11" s="6" t="n">
        <v>6</v>
      </c>
      <c r="E11" s="7" t="n">
        <f aca="false">C11/D11</f>
        <v>1</v>
      </c>
      <c r="F11" s="8" t="n">
        <v>7.55</v>
      </c>
      <c r="G11" s="9" t="n">
        <f aca="false">F11/E11</f>
        <v>7.55</v>
      </c>
      <c r="H11" s="10" t="n">
        <f aca="false">(O11+P11)*(D11*28.3495)/100</f>
        <v>1447.52547</v>
      </c>
      <c r="I11" s="10" t="n">
        <f aca="false">(O11+P11+Q11)*(D11*28.3495)/100</f>
        <v>3709.81557</v>
      </c>
      <c r="J11" s="10" t="n">
        <f aca="false">(O11+P11)*(C11*28.3495)/100</f>
        <v>1447.52547</v>
      </c>
      <c r="K11" s="10" t="n">
        <f aca="false">(O11+P11+Q11)*(C11*28.3495)/100</f>
        <v>3709.81557</v>
      </c>
      <c r="L11" s="11" t="n">
        <f aca="false">IF(J11&gt;0, F11/(J11/1000), "-")</f>
        <v>5.2157976881747</v>
      </c>
      <c r="M11" s="11" t="n">
        <f aca="false">IF(K11&gt;0, F11/(K11/1000), "-")</f>
        <v>2.03514160139233</v>
      </c>
      <c r="N11" s="12" t="n">
        <f aca="false">RANK(L11,L$5:L$28,1)</f>
        <v>2</v>
      </c>
      <c r="O11" s="0" t="n">
        <v>262</v>
      </c>
      <c r="P11" s="0" t="n">
        <v>589</v>
      </c>
      <c r="Q11" s="0" t="n">
        <v>1330</v>
      </c>
    </row>
    <row r="12" customFormat="false" ht="15" hidden="false" customHeight="false" outlineLevel="0" collapsed="false">
      <c r="A12" s="13" t="s">
        <v>30</v>
      </c>
      <c r="B12" s="14" t="s">
        <v>31</v>
      </c>
      <c r="C12" s="15" t="n">
        <v>16</v>
      </c>
      <c r="D12" s="15" t="n">
        <v>4</v>
      </c>
      <c r="E12" s="16" t="n">
        <f aca="false">C12/D12</f>
        <v>4</v>
      </c>
      <c r="F12" s="17" t="n">
        <v>27.49</v>
      </c>
      <c r="G12" s="18" t="n">
        <f aca="false">F12/E12</f>
        <v>6.8725</v>
      </c>
      <c r="H12" s="19" t="n">
        <f aca="false">(O12+P12)*(D12*28.3495)/100</f>
        <v>36.28736</v>
      </c>
      <c r="I12" s="19" t="n">
        <f aca="false">(O12+P12+Q12)*(D12*28.3495)/100</f>
        <v>44.22522</v>
      </c>
      <c r="J12" s="19" t="n">
        <f aca="false">(O12+P12)*(C12*28.3495)/100</f>
        <v>145.14944</v>
      </c>
      <c r="K12" s="19" t="n">
        <f aca="false">(O12+P12+Q12)*(C12*28.3495)/100</f>
        <v>176.90088</v>
      </c>
      <c r="L12" s="20" t="n">
        <f aca="false">IF(J12&gt;0, F12/(J12/1000), "-")</f>
        <v>189.391016596413</v>
      </c>
      <c r="M12" s="20" t="n">
        <f aca="false">IF(K12&gt;0, F12/(K12/1000), "-")</f>
        <v>155.397757207313</v>
      </c>
      <c r="N12" s="21" t="n">
        <f aca="false">RANK(L12,L$5:L$28,1)</f>
        <v>23</v>
      </c>
      <c r="O12" s="0" t="n">
        <v>15</v>
      </c>
      <c r="P12" s="0" t="n">
        <v>17</v>
      </c>
      <c r="Q12" s="0" t="n">
        <v>7</v>
      </c>
    </row>
    <row r="13" customFormat="false" ht="15" hidden="false" customHeight="false" outlineLevel="0" collapsed="false">
      <c r="A13" s="4" t="s">
        <v>32</v>
      </c>
      <c r="B13" s="5" t="s">
        <v>33</v>
      </c>
      <c r="C13" s="6" t="n">
        <v>6</v>
      </c>
      <c r="D13" s="6" t="n">
        <v>6</v>
      </c>
      <c r="E13" s="7" t="n">
        <f aca="false">C13/D13</f>
        <v>1</v>
      </c>
      <c r="F13" s="8" t="n">
        <v>27.19</v>
      </c>
      <c r="G13" s="9" t="n">
        <f aca="false">F13/E13</f>
        <v>27.19</v>
      </c>
      <c r="H13" s="10" t="n">
        <f aca="false">(O13+P13)*(D13*28.3495)/100</f>
        <v>1534.27494</v>
      </c>
      <c r="I13" s="10" t="n">
        <f aca="false">(O13+P13+Q13)*(D13*28.3495)/100</f>
        <v>3031.12854</v>
      </c>
      <c r="J13" s="10" t="n">
        <f aca="false">(O13+P13)*(C13*28.3495)/100</f>
        <v>1534.27494</v>
      </c>
      <c r="K13" s="10" t="n">
        <f aca="false">(O13+P13+Q13)*(C13*28.3495)/100</f>
        <v>3031.12854</v>
      </c>
      <c r="L13" s="11" t="n">
        <f aca="false">IF(J13&gt;0, F13/(J13/1000), "-")</f>
        <v>17.7217259378557</v>
      </c>
      <c r="M13" s="11" t="n">
        <f aca="false">IF(K13&gt;0, F13/(K13/1000), "-")</f>
        <v>8.97025633891462</v>
      </c>
      <c r="N13" s="12" t="n">
        <f aca="false">RANK(L13,L$5:L$28,1)</f>
        <v>11</v>
      </c>
      <c r="O13" s="0" t="n">
        <v>304</v>
      </c>
      <c r="P13" s="0" t="n">
        <v>598</v>
      </c>
      <c r="Q13" s="0" t="n">
        <v>880</v>
      </c>
    </row>
    <row r="14" customFormat="false" ht="15" hidden="false" customHeight="false" outlineLevel="0" collapsed="false">
      <c r="A14" s="13" t="s">
        <v>34</v>
      </c>
      <c r="B14" s="14" t="s">
        <v>35</v>
      </c>
      <c r="C14" s="15" t="n">
        <v>6</v>
      </c>
      <c r="D14" s="15" t="n">
        <v>6</v>
      </c>
      <c r="E14" s="16" t="n">
        <f aca="false">C14/D14</f>
        <v>1</v>
      </c>
      <c r="F14" s="17" t="n">
        <v>21.42</v>
      </c>
      <c r="G14" s="18" t="n">
        <f aca="false">F14/E14</f>
        <v>21.42</v>
      </c>
      <c r="H14" s="19" t="n">
        <f aca="false">(O14+P14)*(D14*28.3495)/100</f>
        <v>1340.36436</v>
      </c>
      <c r="I14" s="19" t="n">
        <f aca="false">(O14+P14+Q14)*(D14*28.3495)/100</f>
        <v>2434.08807</v>
      </c>
      <c r="J14" s="19" t="n">
        <f aca="false">(O14+P14)*(C14*28.3495)/100</f>
        <v>1340.36436</v>
      </c>
      <c r="K14" s="19" t="n">
        <f aca="false">(O14+P14+Q14)*(C14*28.3495)/100</f>
        <v>2434.08807</v>
      </c>
      <c r="L14" s="20" t="n">
        <f aca="false">IF(J14&gt;0, F14/(J14/1000), "-")</f>
        <v>15.9807292996063</v>
      </c>
      <c r="M14" s="20" t="n">
        <f aca="false">IF(K14&gt;0, F14/(K14/1000), "-")</f>
        <v>8.80001026421366</v>
      </c>
      <c r="N14" s="21" t="n">
        <f aca="false">RANK(L14,L$5:L$28,1)</f>
        <v>10</v>
      </c>
      <c r="O14" s="0" t="n">
        <v>221</v>
      </c>
      <c r="P14" s="0" t="n">
        <v>567</v>
      </c>
      <c r="Q14" s="0" t="n">
        <v>643</v>
      </c>
    </row>
    <row r="15" customFormat="false" ht="15" hidden="false" customHeight="false" outlineLevel="0" collapsed="false">
      <c r="A15" s="4" t="s">
        <v>36</v>
      </c>
      <c r="B15" s="5" t="s">
        <v>37</v>
      </c>
      <c r="C15" s="6" t="n">
        <v>6</v>
      </c>
      <c r="D15" s="6" t="n">
        <v>6</v>
      </c>
      <c r="E15" s="7" t="n">
        <f aca="false">C15/D15</f>
        <v>1</v>
      </c>
      <c r="F15" s="8" t="n">
        <v>8.32</v>
      </c>
      <c r="G15" s="9" t="n">
        <f aca="false">F15/E15</f>
        <v>8.32</v>
      </c>
      <c r="H15" s="10" t="n">
        <f aca="false">(O15+P15)*(D15*28.3495)/100</f>
        <v>209.21931</v>
      </c>
      <c r="I15" s="10" t="n">
        <f aca="false">(O15+P15+Q15)*(D15*28.3495)/100</f>
        <v>265.35132</v>
      </c>
      <c r="J15" s="10" t="n">
        <f aca="false">(O15+P15)*(C15*28.3495)/100</f>
        <v>209.21931</v>
      </c>
      <c r="K15" s="10" t="n">
        <f aca="false">(O15+P15+Q15)*(C15*28.3495)/100</f>
        <v>265.35132</v>
      </c>
      <c r="L15" s="11" t="n">
        <f aca="false">IF(J15&gt;0, F15/(J15/1000), "-")</f>
        <v>39.7668838502526</v>
      </c>
      <c r="M15" s="11" t="n">
        <f aca="false">IF(K15&gt;0, F15/(K15/1000), "-")</f>
        <v>31.3546584203915</v>
      </c>
      <c r="N15" s="12" t="n">
        <f aca="false">RANK(L15,L$5:L$28,1)</f>
        <v>19</v>
      </c>
      <c r="O15" s="0" t="n">
        <v>31</v>
      </c>
      <c r="P15" s="0" t="n">
        <v>92</v>
      </c>
      <c r="Q15" s="0" t="n">
        <v>33</v>
      </c>
    </row>
    <row r="16" customFormat="false" ht="15" hidden="false" customHeight="false" outlineLevel="0" collapsed="false">
      <c r="A16" s="13" t="s">
        <v>38</v>
      </c>
      <c r="B16" s="14" t="s">
        <v>39</v>
      </c>
      <c r="C16" s="15" t="n">
        <v>8</v>
      </c>
      <c r="D16" s="15" t="n">
        <v>8</v>
      </c>
      <c r="E16" s="16" t="n">
        <f aca="false">C16/D16</f>
        <v>1</v>
      </c>
      <c r="F16" s="17" t="n">
        <v>11.62</v>
      </c>
      <c r="G16" s="18" t="n">
        <f aca="false">F16/E16</f>
        <v>11.62</v>
      </c>
      <c r="H16" s="19" t="n">
        <f aca="false">(O16+P16)*(D16*28.3495)/100</f>
        <v>278.95908</v>
      </c>
      <c r="I16" s="19" t="n">
        <f aca="false">(O16+P16+Q16)*(D16*28.3495)/100</f>
        <v>353.80176</v>
      </c>
      <c r="J16" s="19" t="n">
        <f aca="false">(O16+P16)*(C16*28.3495)/100</f>
        <v>278.95908</v>
      </c>
      <c r="K16" s="19" t="n">
        <f aca="false">(O16+P16+Q16)*(C16*28.3495)/100</f>
        <v>353.80176</v>
      </c>
      <c r="L16" s="20" t="n">
        <f aca="false">IF(J16&gt;0, F16/(J16/1000), "-")</f>
        <v>41.6548548984317</v>
      </c>
      <c r="M16" s="20" t="n">
        <f aca="false">IF(K16&gt;0, F16/(K16/1000), "-")</f>
        <v>32.8432509776096</v>
      </c>
      <c r="N16" s="21" t="n">
        <f aca="false">RANK(L16,L$5:L$28,1)</f>
        <v>20</v>
      </c>
      <c r="O16" s="0" t="n">
        <v>31</v>
      </c>
      <c r="P16" s="0" t="n">
        <v>92</v>
      </c>
      <c r="Q16" s="0" t="n">
        <v>33</v>
      </c>
    </row>
    <row r="17" customFormat="false" ht="15" hidden="false" customHeight="false" outlineLevel="0" collapsed="false">
      <c r="A17" s="4" t="s">
        <v>40</v>
      </c>
      <c r="B17" s="5" t="s">
        <v>41</v>
      </c>
      <c r="C17" s="6" t="n">
        <v>4</v>
      </c>
      <c r="D17" s="6" t="n">
        <v>4</v>
      </c>
      <c r="E17" s="7" t="n">
        <f aca="false">C17/D17</f>
        <v>1</v>
      </c>
      <c r="F17" s="8" t="n">
        <v>3.87</v>
      </c>
      <c r="G17" s="9" t="n">
        <f aca="false">F17/E17</f>
        <v>3.87</v>
      </c>
      <c r="H17" s="10" t="n">
        <f aca="false">(O17+P17)*(D17*28.3495)/100</f>
        <v>139.47954</v>
      </c>
      <c r="I17" s="10" t="n">
        <f aca="false">(O17+P17+Q17)*(D17*28.3495)/100</f>
        <v>176.90088</v>
      </c>
      <c r="J17" s="10" t="n">
        <f aca="false">(O17+P17)*(C17*28.3495)/100</f>
        <v>139.47954</v>
      </c>
      <c r="K17" s="10" t="n">
        <f aca="false">(O17+P17+Q17)*(C17*28.3495)/100</f>
        <v>176.90088</v>
      </c>
      <c r="L17" s="11" t="n">
        <f aca="false">IF(J17&gt;0, F17/(J17/1000), "-")</f>
        <v>27.7460048979227</v>
      </c>
      <c r="M17" s="11" t="n">
        <f aca="false">IF(K17&gt;0, F17/(K17/1000), "-")</f>
        <v>21.8766577079775</v>
      </c>
      <c r="N17" s="12" t="n">
        <f aca="false">RANK(L17,L$5:L$28,1)</f>
        <v>14</v>
      </c>
      <c r="O17" s="0" t="n">
        <v>31</v>
      </c>
      <c r="P17" s="0" t="n">
        <v>92</v>
      </c>
      <c r="Q17" s="0" t="n">
        <v>33</v>
      </c>
    </row>
    <row r="18" customFormat="false" ht="15" hidden="false" customHeight="false" outlineLevel="0" collapsed="false">
      <c r="A18" s="13" t="s">
        <v>42</v>
      </c>
      <c r="B18" s="14" t="s">
        <v>43</v>
      </c>
      <c r="C18" s="15" t="n">
        <v>4</v>
      </c>
      <c r="D18" s="15" t="n">
        <v>4</v>
      </c>
      <c r="E18" s="16" t="n">
        <f aca="false">C18/D18</f>
        <v>1</v>
      </c>
      <c r="F18" s="17" t="n">
        <v>29.06</v>
      </c>
      <c r="G18" s="18" t="n">
        <f aca="false">F18/E18</f>
        <v>29.06</v>
      </c>
      <c r="H18" s="19" t="n">
        <f aca="false">(O18+P18)*(D18*28.3495)/100</f>
        <v>1605.71568</v>
      </c>
      <c r="I18" s="19" t="n">
        <f aca="false">(O18+P18+Q18)*(D18*28.3495)/100</f>
        <v>3442.76328</v>
      </c>
      <c r="J18" s="19" t="n">
        <f aca="false">(O18+P18)*(C18*28.3495)/100</f>
        <v>1605.71568</v>
      </c>
      <c r="K18" s="19" t="n">
        <f aca="false">(O18+P18+Q18)*(C18*28.3495)/100</f>
        <v>3442.76328</v>
      </c>
      <c r="L18" s="20" t="n">
        <f aca="false">IF(J18&gt;0, F18/(J18/1000), "-")</f>
        <v>18.097849053825</v>
      </c>
      <c r="M18" s="20" t="n">
        <f aca="false">IF(K18&gt;0, F18/(K18/1000), "-")</f>
        <v>8.44089402510416</v>
      </c>
      <c r="N18" s="21" t="n">
        <f aca="false">RANK(L18,L$5:L$28,1)</f>
        <v>13</v>
      </c>
      <c r="O18" s="0" t="n">
        <v>376</v>
      </c>
      <c r="P18" s="0" t="n">
        <v>1040</v>
      </c>
      <c r="Q18" s="0" t="n">
        <v>1620</v>
      </c>
    </row>
    <row r="19" customFormat="false" ht="15" hidden="false" customHeight="false" outlineLevel="0" collapsed="false">
      <c r="A19" s="4" t="s">
        <v>44</v>
      </c>
      <c r="B19" s="5" t="s">
        <v>45</v>
      </c>
      <c r="C19" s="6" t="n">
        <v>6</v>
      </c>
      <c r="D19" s="6" t="n">
        <v>6</v>
      </c>
      <c r="E19" s="7" t="n">
        <f aca="false">C19/D19</f>
        <v>1</v>
      </c>
      <c r="F19" s="8" t="n">
        <v>17.21</v>
      </c>
      <c r="G19" s="9" t="n">
        <f aca="false">F19/E19</f>
        <v>17.21</v>
      </c>
      <c r="H19" s="10" t="n">
        <f aca="false">(O19+P19)*(D19*28.3495)/100</f>
        <v>2408.57352</v>
      </c>
      <c r="I19" s="10" t="n">
        <f aca="false">(O19+P19+Q19)*(D19*28.3495)/100</f>
        <v>5164.14492</v>
      </c>
      <c r="J19" s="10" t="n">
        <f aca="false">(O19+P19)*(C19*28.3495)/100</f>
        <v>2408.57352</v>
      </c>
      <c r="K19" s="10" t="n">
        <f aca="false">(O19+P19+Q19)*(C19*28.3495)/100</f>
        <v>5164.14492</v>
      </c>
      <c r="L19" s="11" t="n">
        <f aca="false">IF(J19&gt;0, F19/(J19/1000), "-")</f>
        <v>7.14530814903254</v>
      </c>
      <c r="M19" s="11" t="n">
        <f aca="false">IF(K19&gt;0, F19/(K19/1000), "-")</f>
        <v>3.33259431456854</v>
      </c>
      <c r="N19" s="12" t="n">
        <f aca="false">RANK(L19,L$5:L$28,1)</f>
        <v>4</v>
      </c>
      <c r="O19" s="0" t="n">
        <v>376</v>
      </c>
      <c r="P19" s="0" t="n">
        <v>1040</v>
      </c>
      <c r="Q19" s="0" t="n">
        <v>1620</v>
      </c>
    </row>
    <row r="20" customFormat="false" ht="15" hidden="false" customHeight="false" outlineLevel="0" collapsed="false">
      <c r="A20" s="13" t="s">
        <v>46</v>
      </c>
      <c r="B20" s="14" t="s">
        <v>47</v>
      </c>
      <c r="C20" s="15" t="n">
        <v>12.8</v>
      </c>
      <c r="D20" s="15" t="n">
        <v>3.2</v>
      </c>
      <c r="E20" s="16" t="n">
        <f aca="false">C20/D20</f>
        <v>4</v>
      </c>
      <c r="F20" s="17" t="n">
        <v>39.34</v>
      </c>
      <c r="G20" s="18" t="n">
        <f aca="false">F20/E20</f>
        <v>9.835</v>
      </c>
      <c r="H20" s="19" t="n">
        <f aca="false">(O20+P20)*(D20*28.3495)/100</f>
        <v>852.75296</v>
      </c>
      <c r="I20" s="19" t="n">
        <f aca="false">(O20+P20+Q20)*(D20*28.3495)/100</f>
        <v>2004.87664</v>
      </c>
      <c r="J20" s="19" t="n">
        <f aca="false">(O20+P20)*(C20*28.3495)/100</f>
        <v>3411.01184</v>
      </c>
      <c r="K20" s="19" t="n">
        <f aca="false">(O20+P20+Q20)*(C20*28.3495)/100</f>
        <v>8019.50656</v>
      </c>
      <c r="L20" s="20" t="n">
        <f aca="false">IF(J20&gt;0, F20/(J20/1000), "-")</f>
        <v>11.5332346662274</v>
      </c>
      <c r="M20" s="20" t="n">
        <f aca="false">IF(K20&gt;0, F20/(K20/1000), "-")</f>
        <v>4.90553872681164</v>
      </c>
      <c r="N20" s="21" t="n">
        <f aca="false">RANK(L20,L$5:L$28,1)</f>
        <v>8</v>
      </c>
      <c r="O20" s="0" t="n">
        <v>272</v>
      </c>
      <c r="P20" s="0" t="n">
        <v>668</v>
      </c>
      <c r="Q20" s="0" t="n">
        <v>1270</v>
      </c>
    </row>
    <row r="21" customFormat="false" ht="15" hidden="false" customHeight="false" outlineLevel="0" collapsed="false">
      <c r="A21" s="4" t="s">
        <v>48</v>
      </c>
      <c r="B21" s="5" t="s">
        <v>49</v>
      </c>
      <c r="C21" s="6" t="n">
        <v>7</v>
      </c>
      <c r="D21" s="6" t="n">
        <v>3.5</v>
      </c>
      <c r="E21" s="7" t="n">
        <f aca="false">C21/D21</f>
        <v>2</v>
      </c>
      <c r="F21" s="8" t="n">
        <v>21.55</v>
      </c>
      <c r="G21" s="9" t="n">
        <f aca="false">F21/E21</f>
        <v>10.775</v>
      </c>
      <c r="H21" s="10" t="n">
        <f aca="false">(O21+P21)*(D21*28.3495)/100</f>
        <v>85.331995</v>
      </c>
      <c r="I21" s="10" t="n">
        <f aca="false">(O21+P21+Q21)*(D21*28.3495)/100</f>
        <v>88.3086925</v>
      </c>
      <c r="J21" s="10" t="n">
        <f aca="false">(O21+P21)*(C21*28.3495)/100</f>
        <v>170.66399</v>
      </c>
      <c r="K21" s="10" t="n">
        <f aca="false">(O21+P21+Q21)*(C21*28.3495)/100</f>
        <v>176.617385</v>
      </c>
      <c r="L21" s="11" t="n">
        <f aca="false">IF(J21&gt;0, F21/(J21/1000), "-")</f>
        <v>126.271511641091</v>
      </c>
      <c r="M21" s="11" t="n">
        <f aca="false">IF(K21&gt;0, F21/(K21/1000), "-")</f>
        <v>122.015168552065</v>
      </c>
      <c r="N21" s="12" t="n">
        <f aca="false">RANK(L21,L$5:L$28,1)</f>
        <v>22</v>
      </c>
      <c r="O21" s="0" t="n">
        <v>51</v>
      </c>
      <c r="P21" s="0" t="n">
        <v>35</v>
      </c>
      <c r="Q21" s="0" t="n">
        <v>3</v>
      </c>
    </row>
    <row r="22" customFormat="false" ht="15" hidden="false" customHeight="false" outlineLevel="0" collapsed="false">
      <c r="A22" s="13" t="s">
        <v>50</v>
      </c>
      <c r="B22" s="14" t="s">
        <v>51</v>
      </c>
      <c r="C22" s="15" t="n">
        <v>16</v>
      </c>
      <c r="D22" s="15" t="n">
        <v>4</v>
      </c>
      <c r="E22" s="16" t="n">
        <f aca="false">C22/D22</f>
        <v>4</v>
      </c>
      <c r="F22" s="17" t="n">
        <v>31.58</v>
      </c>
      <c r="G22" s="18" t="n">
        <f aca="false">F22/E22</f>
        <v>7.895</v>
      </c>
      <c r="H22" s="19" t="n">
        <f aca="false">(O22+P22)*(D22*28.3495)/100</f>
        <v>97.52228</v>
      </c>
      <c r="I22" s="19" t="n">
        <f aca="false">(O22+P22+Q22)*(D22*28.3495)/100</f>
        <v>100.92422</v>
      </c>
      <c r="J22" s="19" t="n">
        <f aca="false">(O22+P22)*(C22*28.3495)/100</f>
        <v>390.08912</v>
      </c>
      <c r="K22" s="19" t="n">
        <f aca="false">(O22+P22+Q22)*(C22*28.3495)/100</f>
        <v>403.69688</v>
      </c>
      <c r="L22" s="20" t="n">
        <f aca="false">IF(J22&gt;0, F22/(J22/1000), "-")</f>
        <v>80.9558595225624</v>
      </c>
      <c r="M22" s="20" t="n">
        <f aca="false">IF(K22&gt;0, F22/(K22/1000), "-")</f>
        <v>78.2270103251727</v>
      </c>
      <c r="N22" s="21" t="n">
        <f aca="false">RANK(L22,L$5:L$28,1)</f>
        <v>21</v>
      </c>
      <c r="O22" s="0" t="n">
        <v>51</v>
      </c>
      <c r="P22" s="0" t="n">
        <v>35</v>
      </c>
      <c r="Q22" s="0" t="n">
        <v>3</v>
      </c>
    </row>
    <row r="23" customFormat="false" ht="15" hidden="false" customHeight="false" outlineLevel="0" collapsed="false">
      <c r="A23" s="4" t="s">
        <v>52</v>
      </c>
      <c r="B23" s="5" t="s">
        <v>53</v>
      </c>
      <c r="C23" s="6" t="n">
        <v>12</v>
      </c>
      <c r="D23" s="6" t="n">
        <v>6</v>
      </c>
      <c r="E23" s="7" t="n">
        <f aca="false">C23/D23</f>
        <v>2</v>
      </c>
      <c r="F23" s="8" t="n">
        <v>48.77</v>
      </c>
      <c r="G23" s="9" t="n">
        <f aca="false">F23/E23</f>
        <v>24.385</v>
      </c>
      <c r="H23" s="10" t="n">
        <f aca="false">(O23+P23)*(D23*28.3495)/100</f>
        <v>833.4753</v>
      </c>
      <c r="I23" s="10" t="n">
        <f aca="false">(O23+P23+Q23)*(D23*28.3495)/100</f>
        <v>889.60731</v>
      </c>
      <c r="J23" s="10" t="n">
        <f aca="false">(O23+P23)*(C23*28.3495)/100</f>
        <v>1666.9506</v>
      </c>
      <c r="K23" s="10" t="n">
        <f aca="false">(O23+P23+Q23)*(C23*28.3495)/100</f>
        <v>1779.21462</v>
      </c>
      <c r="L23" s="11" t="n">
        <f aca="false">IF(J23&gt;0, F23/(J23/1000), "-")</f>
        <v>29.2570157747926</v>
      </c>
      <c r="M23" s="11" t="n">
        <f aca="false">IF(K23&gt;0, F23/(K23/1000), "-")</f>
        <v>27.410970802387</v>
      </c>
      <c r="N23" s="12" t="n">
        <f aca="false">RANK(L23,L$5:L$28,1)</f>
        <v>15</v>
      </c>
      <c r="O23" s="0" t="n">
        <v>86</v>
      </c>
      <c r="P23" s="0" t="n">
        <v>404</v>
      </c>
      <c r="Q23" s="0" t="n">
        <v>33</v>
      </c>
    </row>
    <row r="24" customFormat="false" ht="15" hidden="false" customHeight="false" outlineLevel="0" collapsed="false">
      <c r="A24" s="13" t="s">
        <v>54</v>
      </c>
      <c r="B24" s="14" t="s">
        <v>55</v>
      </c>
      <c r="C24" s="15" t="n">
        <v>5.5</v>
      </c>
      <c r="D24" s="15" t="n">
        <v>5.5</v>
      </c>
      <c r="E24" s="16" t="n">
        <f aca="false">C24/D24</f>
        <v>1</v>
      </c>
      <c r="F24" s="17" t="n">
        <v>29.98</v>
      </c>
      <c r="G24" s="18" t="n">
        <f aca="false">F24/E24</f>
        <v>29.98</v>
      </c>
      <c r="H24" s="19" t="n">
        <f aca="false">(O24+P24)*(D24*28.3495)/100</f>
        <v>764.019025</v>
      </c>
      <c r="I24" s="19" t="n">
        <f aca="false">(O24+P24+Q24)*(D24*28.3495)/100</f>
        <v>815.4733675</v>
      </c>
      <c r="J24" s="19" t="n">
        <f aca="false">(O24+P24)*(C24*28.3495)/100</f>
        <v>764.019025</v>
      </c>
      <c r="K24" s="19" t="n">
        <f aca="false">(O24+P24+Q24)*(C24*28.3495)/100</f>
        <v>815.4733675</v>
      </c>
      <c r="L24" s="20" t="n">
        <f aca="false">IF(J24&gt;0, F24/(J24/1000), "-")</f>
        <v>39.2398605519018</v>
      </c>
      <c r="M24" s="20" t="n">
        <f aca="false">IF(K24&gt;0, F24/(K24/1000), "-")</f>
        <v>36.7639228880151</v>
      </c>
      <c r="N24" s="21" t="n">
        <f aca="false">RANK(L24,L$5:L$28,1)</f>
        <v>17</v>
      </c>
      <c r="O24" s="0" t="n">
        <v>86</v>
      </c>
      <c r="P24" s="0" t="n">
        <v>404</v>
      </c>
      <c r="Q24" s="0" t="n">
        <v>33</v>
      </c>
    </row>
    <row r="25" customFormat="false" ht="15" hidden="false" customHeight="false" outlineLevel="0" collapsed="false">
      <c r="A25" s="4" t="s">
        <v>56</v>
      </c>
      <c r="B25" s="5" t="s">
        <v>57</v>
      </c>
      <c r="C25" s="6" t="n">
        <v>5.5</v>
      </c>
      <c r="D25" s="6" t="n">
        <v>5.5</v>
      </c>
      <c r="E25" s="7" t="n">
        <f aca="false">C25/D25</f>
        <v>1</v>
      </c>
      <c r="F25" s="8" t="n">
        <v>29.98</v>
      </c>
      <c r="G25" s="9" t="n">
        <f aca="false">F25/E25</f>
        <v>29.98</v>
      </c>
      <c r="H25" s="10" t="n">
        <f aca="false">(O25+P25)*(D25*28.3495)/100</f>
        <v>764.019025</v>
      </c>
      <c r="I25" s="10" t="n">
        <f aca="false">(O25+P25+Q25)*(D25*28.3495)/100</f>
        <v>815.4733675</v>
      </c>
      <c r="J25" s="10" t="n">
        <f aca="false">(O25+P25)*(C25*28.3495)/100</f>
        <v>764.019025</v>
      </c>
      <c r="K25" s="10" t="n">
        <f aca="false">(O25+P25+Q25)*(C25*28.3495)/100</f>
        <v>815.4733675</v>
      </c>
      <c r="L25" s="11" t="n">
        <f aca="false">IF(J25&gt;0, F25/(J25/1000), "-")</f>
        <v>39.2398605519018</v>
      </c>
      <c r="M25" s="11" t="n">
        <f aca="false">IF(K25&gt;0, F25/(K25/1000), "-")</f>
        <v>36.7639228880151</v>
      </c>
      <c r="N25" s="12" t="n">
        <f aca="false">RANK(L25,L$5:L$28,1)</f>
        <v>17</v>
      </c>
      <c r="O25" s="0" t="n">
        <v>86</v>
      </c>
      <c r="P25" s="0" t="n">
        <v>404</v>
      </c>
      <c r="Q25" s="0" t="n">
        <v>33</v>
      </c>
    </row>
    <row r="26" customFormat="false" ht="15" hidden="false" customHeight="false" outlineLevel="0" collapsed="false">
      <c r="A26" s="13" t="s">
        <v>58</v>
      </c>
      <c r="B26" s="14" t="s">
        <v>59</v>
      </c>
      <c r="C26" s="15" t="n">
        <v>8</v>
      </c>
      <c r="D26" s="15" t="n">
        <v>8</v>
      </c>
      <c r="E26" s="16" t="n">
        <f aca="false">C26/D26</f>
        <v>1</v>
      </c>
      <c r="F26" s="17" t="n">
        <v>29.94</v>
      </c>
      <c r="G26" s="18" t="n">
        <f aca="false">F26/E26</f>
        <v>29.94</v>
      </c>
      <c r="H26" s="19" t="n">
        <f aca="false">(O26+P26)*(D26*28.3495)/100</f>
        <v>1662.41468</v>
      </c>
      <c r="I26" s="19" t="n">
        <f aca="false">(O26+P26+Q26)*(D26*28.3495)/100</f>
        <v>2016.21644</v>
      </c>
      <c r="J26" s="19" t="n">
        <f aca="false">(O26+P26)*(C26*28.3495)/100</f>
        <v>1662.41468</v>
      </c>
      <c r="K26" s="19" t="n">
        <f aca="false">(O26+P26+Q26)*(C26*28.3495)/100</f>
        <v>2016.21644</v>
      </c>
      <c r="L26" s="20" t="n">
        <f aca="false">IF(J26&gt;0, F26/(J26/1000), "-")</f>
        <v>18.0099468322789</v>
      </c>
      <c r="M26" s="20" t="n">
        <f aca="false">IF(K26&gt;0, F26/(K26/1000), "-")</f>
        <v>14.8495962070421</v>
      </c>
      <c r="N26" s="21" t="n">
        <f aca="false">RANK(L26,L$5:L$28,1)</f>
        <v>12</v>
      </c>
      <c r="O26" s="0" t="n">
        <v>187</v>
      </c>
      <c r="P26" s="0" t="n">
        <v>546</v>
      </c>
      <c r="Q26" s="0" t="n">
        <v>156</v>
      </c>
    </row>
    <row r="27" customFormat="false" ht="15" hidden="false" customHeight="false" outlineLevel="0" collapsed="false">
      <c r="A27" s="4" t="s">
        <v>60</v>
      </c>
      <c r="B27" s="5" t="s">
        <v>61</v>
      </c>
      <c r="C27" s="6" t="n">
        <v>1</v>
      </c>
      <c r="D27" s="6" t="n">
        <v>0.2</v>
      </c>
      <c r="E27" s="7" t="n">
        <f aca="false">C27/D27</f>
        <v>5</v>
      </c>
      <c r="F27" s="8" t="n">
        <v>142.87</v>
      </c>
      <c r="G27" s="9" t="n">
        <f aca="false">F27/E27</f>
        <v>28.574</v>
      </c>
      <c r="H27" s="10" t="n">
        <f aca="false">(O27+P27)*(D27*28.3495)/100</f>
        <v>99.1382015</v>
      </c>
      <c r="I27" s="10" t="n">
        <f aca="false">(O27+P27+Q27)*(D27*28.3495)/100</f>
        <v>108.3064298</v>
      </c>
      <c r="J27" s="10" t="n">
        <f aca="false">(O27+P27)*(C27*28.3495)/100</f>
        <v>495.6910075</v>
      </c>
      <c r="K27" s="10" t="n">
        <f aca="false">(O27+P27+Q27)*(C27*28.3495)/100</f>
        <v>541.532149</v>
      </c>
      <c r="L27" s="11" t="n">
        <f aca="false">IF(J27&gt;0, F27/(J27/1000), "-")</f>
        <v>288.223909327223</v>
      </c>
      <c r="M27" s="11" t="n">
        <f aca="false">IF(K27&gt;0, F27/(K27/1000), "-")</f>
        <v>263.825518510444</v>
      </c>
      <c r="N27" s="12" t="n">
        <f aca="false">RANK(L27,L$5:L$28,1)</f>
        <v>24</v>
      </c>
      <c r="O27" s="0" t="n">
        <v>497.8</v>
      </c>
      <c r="P27" s="0" t="n">
        <v>1250.7</v>
      </c>
      <c r="Q27" s="0" t="n">
        <v>161.7</v>
      </c>
    </row>
    <row r="28" customFormat="false" ht="15" hidden="false" customHeight="false" outlineLevel="0" collapsed="false">
      <c r="A28" s="13" t="s">
        <v>62</v>
      </c>
      <c r="B28" s="14" t="s">
        <v>63</v>
      </c>
      <c r="C28" s="15" t="n">
        <v>1</v>
      </c>
      <c r="D28" s="15" t="n">
        <v>0.2</v>
      </c>
      <c r="E28" s="16" t="n">
        <f aca="false">C28/D28</f>
        <v>5</v>
      </c>
      <c r="F28" s="17" t="n">
        <v>25.49</v>
      </c>
      <c r="G28" s="18" t="n">
        <f aca="false">F28/E28</f>
        <v>5.098</v>
      </c>
      <c r="H28" s="19" t="n">
        <f aca="false">(O28+P28)*(D28*28.3495)/100</f>
        <v>159.1087338</v>
      </c>
      <c r="I28" s="19" t="n">
        <f aca="false">(O28+P28+Q28)*(D28*28.3495)/100</f>
        <v>167.1826714</v>
      </c>
      <c r="J28" s="19" t="n">
        <f aca="false">(O28+P28)*(C28*28.3495)/100</f>
        <v>795.543669</v>
      </c>
      <c r="K28" s="19" t="n">
        <f aca="false">(O28+P28+Q28)*(C28*28.3495)/100</f>
        <v>835.913357</v>
      </c>
      <c r="L28" s="20" t="n">
        <f aca="false">IF(J28&gt;0, F28/(J28/1000), "-")</f>
        <v>32.040981524045</v>
      </c>
      <c r="M28" s="20" t="n">
        <f aca="false">IF(K28&gt;0, F28/(K28/1000), "-")</f>
        <v>30.4935909763193</v>
      </c>
      <c r="N28" s="21" t="n">
        <f aca="false">RANK(L28,L$5:L$28,1)</f>
        <v>16</v>
      </c>
      <c r="O28" s="0" t="n">
        <v>513.8</v>
      </c>
      <c r="P28" s="0" t="n">
        <v>2292.4</v>
      </c>
      <c r="Q28" s="0" t="n">
        <v>142.4</v>
      </c>
    </row>
    <row r="30" customFormat="false" ht="24" hidden="false" customHeight="true" outlineLevel="0" collapsed="false">
      <c r="A30" s="22" t="s">
        <v>64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customFormat="false" ht="15" hidden="false" customHeight="false" outlineLevel="0" collapsed="false">
      <c r="A31" s="23" t="s">
        <v>65</v>
      </c>
      <c r="B31" s="23" t="s">
        <v>3</v>
      </c>
      <c r="C31" s="23" t="s">
        <v>7</v>
      </c>
      <c r="D31" s="23" t="s">
        <v>66</v>
      </c>
      <c r="E31" s="23" t="s">
        <v>67</v>
      </c>
      <c r="F31" s="23" t="s">
        <v>68</v>
      </c>
    </row>
    <row r="32" customFormat="false" ht="15" hidden="false" customHeight="false" outlineLevel="0" collapsed="false">
      <c r="A32" s="24" t="n">
        <v>1</v>
      </c>
      <c r="B32" s="25" t="str">
        <f aca="false">INDEX(B$5:B$28,MATCH(SMALL(L$5:L$28,1),L$5:L$28,0))</f>
        <v>Bakkafrost, Atlantic Salmon (6oz)</v>
      </c>
      <c r="C32" s="26" t="n">
        <f aca="false">INDEX(F$5:F$28,MATCH(SMALL(L$5:L$28,1),L$5:L$28,0))</f>
        <v>9.1</v>
      </c>
      <c r="D32" s="27" t="n">
        <f aca="false">SMALL(L$5:L$28,1)</f>
        <v>4.10267530136449</v>
      </c>
      <c r="E32" s="28" t="n">
        <f aca="false">INDEX(H$5:H$28,MATCH(SMALL(L$5:L$28,1),L$5:L$28,0))</f>
        <v>2218.06488</v>
      </c>
      <c r="F32" s="26" t="n">
        <f aca="false">INDEX(G$5:G$28,MATCH(SMALL(L$5:L$28,1),L$5:L$28,0))</f>
        <v>9.1</v>
      </c>
    </row>
    <row r="33" customFormat="false" ht="15" hidden="false" customHeight="false" outlineLevel="0" collapsed="false">
      <c r="A33" s="24" t="n">
        <v>2</v>
      </c>
      <c r="B33" s="25" t="str">
        <f aca="false">INDEX(B$5:B$28,MATCH(SMALL(L$5:L$28,2),L$5:L$28,0))</f>
        <v>Caleta Bay, Steelhead (6oz)</v>
      </c>
      <c r="C33" s="26" t="n">
        <f aca="false">INDEX(F$5:F$28,MATCH(SMALL(L$5:L$28,2),L$5:L$28,0))</f>
        <v>7.55</v>
      </c>
      <c r="D33" s="27" t="n">
        <f aca="false">SMALL(L$5:L$28,2)</f>
        <v>5.2157976881747</v>
      </c>
      <c r="E33" s="28" t="n">
        <f aca="false">INDEX(H$5:H$28,MATCH(SMALL(L$5:L$28,2),L$5:L$28,0))</f>
        <v>1447.52547</v>
      </c>
      <c r="F33" s="26" t="n">
        <f aca="false">INDEX(G$5:G$28,MATCH(SMALL(L$5:L$28,2),L$5:L$28,0))</f>
        <v>7.55</v>
      </c>
    </row>
    <row r="34" customFormat="false" ht="15" hidden="false" customHeight="false" outlineLevel="0" collapsed="false">
      <c r="A34" s="24" t="n">
        <v>3</v>
      </c>
      <c r="B34" s="25" t="str">
        <f aca="false">INDEX(B$5:B$28,MATCH(SMALL(L$5:L$28,3),L$5:L$28,0))</f>
        <v>Caleta Bay, A&amp;I Steelhead Loin (12oz)</v>
      </c>
      <c r="C34" s="26" t="n">
        <f aca="false">INDEX(F$5:F$28,MATCH(SMALL(L$5:L$28,3),L$5:L$28,0))</f>
        <v>20.15</v>
      </c>
      <c r="D34" s="27" t="n">
        <f aca="false">SMALL(L$5:L$28,3)</f>
        <v>6.96015386865697</v>
      </c>
      <c r="E34" s="28" t="n">
        <f aca="false">INDEX(H$5:H$28,MATCH(SMALL(L$5:L$28,3),L$5:L$28,0))</f>
        <v>1447.52547</v>
      </c>
      <c r="F34" s="26" t="n">
        <f aca="false">INDEX(G$5:G$28,MATCH(SMALL(L$5:L$28,3),L$5:L$28,0))</f>
        <v>10.075</v>
      </c>
    </row>
    <row r="35" customFormat="false" ht="15" hidden="false" customHeight="false" outlineLevel="0" collapsed="false">
      <c r="A35" s="24" t="n">
        <v>4</v>
      </c>
      <c r="B35" s="25" t="str">
        <f aca="false">INDEX(B$5:B$28,MATCH(SMALL(L$5:L$28,4),L$5:L$28,0))</f>
        <v>Hudson Valley, Steelhead (6oz)</v>
      </c>
      <c r="C35" s="26" t="n">
        <f aca="false">INDEX(F$5:F$28,MATCH(SMALL(L$5:L$28,4),L$5:L$28,0))</f>
        <v>17.21</v>
      </c>
      <c r="D35" s="27" t="n">
        <f aca="false">SMALL(L$5:L$28,4)</f>
        <v>7.14530814903254</v>
      </c>
      <c r="E35" s="28" t="n">
        <f aca="false">INDEX(H$5:H$28,MATCH(SMALL(L$5:L$28,4),L$5:L$28,0))</f>
        <v>2408.57352</v>
      </c>
      <c r="F35" s="26" t="n">
        <f aca="false">INDEX(G$5:G$28,MATCH(SMALL(L$5:L$28,4),L$5:L$28,0))</f>
        <v>17.21</v>
      </c>
    </row>
    <row r="36" customFormat="false" ht="15" hidden="false" customHeight="false" outlineLevel="0" collapsed="false">
      <c r="A36" s="24" t="n">
        <v>5</v>
      </c>
      <c r="B36" s="25" t="str">
        <f aca="false">INDEX(B$5:B$28,MATCH(SMALL(L$5:L$28,5),L$5:L$28,0))</f>
        <v>Ora King, King Salmon (7.5oz)</v>
      </c>
      <c r="C36" s="26" t="n">
        <f aca="false">INDEX(F$5:F$28,MATCH(SMALL(L$5:L$28,5),L$5:L$28,0))</f>
        <v>25.49</v>
      </c>
      <c r="D36" s="27" t="n">
        <f aca="false">SMALL(L$5:L$28,5)</f>
        <v>7.46479056478001</v>
      </c>
      <c r="E36" s="28" t="n">
        <f aca="false">INDEX(H$5:H$28,MATCH(SMALL(L$5:L$28,5),L$5:L$28,0))</f>
        <v>3414.697275</v>
      </c>
      <c r="F36" s="26" t="n">
        <f aca="false">INDEX(G$5:G$28,MATCH(SMALL(L$5:L$28,5),L$5:L$28,0))</f>
        <v>25.49</v>
      </c>
    </row>
    <row r="38" customFormat="false" ht="15" hidden="false" customHeight="false" outlineLevel="0" collapsed="false">
      <c r="A38" s="29" t="s">
        <v>69</v>
      </c>
    </row>
    <row r="39" customFormat="false" ht="15" hidden="false" customHeight="false" outlineLevel="0" collapsed="false">
      <c r="A39" s="30" t="s">
        <v>70</v>
      </c>
    </row>
    <row r="40" customFormat="false" ht="15" hidden="false" customHeight="false" outlineLevel="0" collapsed="false">
      <c r="A40" s="30" t="s">
        <v>71</v>
      </c>
    </row>
    <row r="41" customFormat="false" ht="15" hidden="false" customHeight="false" outlineLevel="0" collapsed="false">
      <c r="A41" s="30" t="s">
        <v>72</v>
      </c>
    </row>
    <row r="42" customFormat="false" ht="15" hidden="false" customHeight="false" outlineLevel="0" collapsed="false">
      <c r="A42" s="30" t="s">
        <v>73</v>
      </c>
    </row>
  </sheetData>
  <mergeCells count="3">
    <mergeCell ref="A1:N1"/>
    <mergeCell ref="A2:N2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2026-04-03T05:17:59Z</dcterms:created>
  <dc:creator>openpyxl</dc:creator>
  <dc:description/>
  <dc:language>en-US</dc:language>
  <cp:lastModifiedBy/>
  <dcterms:modified xsi:type="dcterms:W3CDTF">2026-04-03T05:17:59Z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