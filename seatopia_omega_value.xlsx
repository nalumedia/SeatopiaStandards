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Omega-3 Value Analysis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"/>
    <numFmt numFmtId="165" formatCode="\$#,##0.00"/>
    <numFmt numFmtId="166" formatCode="#,##0&quot; mg&quot;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335566"/>
      <sz val="14"/>
    </font>
    <font>
      <name val="Arial"/>
      <charset val="1"/>
      <family val="0"/>
      <i val="1"/>
      <color rgb="FF4B7991"/>
      <sz val="9"/>
    </font>
    <font>
      <name val="Arial"/>
      <charset val="1"/>
      <family val="0"/>
      <b val="1"/>
      <color rgb="FFFFFFFF"/>
      <sz val="10"/>
    </font>
    <font>
      <name val="Consolas"/>
      <charset val="1"/>
      <family val="0"/>
      <sz val="9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335566"/>
      <sz val="12"/>
    </font>
    <font>
      <name val="Arial"/>
      <charset val="1"/>
      <family val="0"/>
      <b val="1"/>
      <sz val="11"/>
    </font>
    <font>
      <name val="Arial"/>
      <charset val="1"/>
      <family val="0"/>
      <b val="1"/>
      <color rgb="FF2E8B57"/>
      <sz val="11"/>
    </font>
    <font>
      <name val="Arial"/>
      <charset val="1"/>
      <family val="0"/>
      <b val="1"/>
      <color rgb="FF335566"/>
      <sz val="10"/>
    </font>
    <font>
      <name val="Arial"/>
      <charset val="1"/>
      <family val="0"/>
      <color rgb="FF666666"/>
      <sz val="9"/>
    </font>
  </fonts>
  <fills count="6">
    <fill>
      <patternFill/>
    </fill>
    <fill>
      <patternFill patternType="gray125"/>
    </fill>
    <fill>
      <patternFill patternType="solid">
        <fgColor rgb="FF335566"/>
        <bgColor rgb="FF666666"/>
      </patternFill>
    </fill>
    <fill>
      <patternFill patternType="solid">
        <fgColor rgb="FFF5F8FA"/>
        <bgColor rgb="FFFFFFFF"/>
      </patternFill>
    </fill>
    <fill>
      <patternFill patternType="solid">
        <fgColor rgb="FF2E8B57"/>
        <bgColor rgb="FF4B7991"/>
      </patternFill>
    </fill>
    <fill>
      <patternFill patternType="solid">
        <fgColor rgb="FFE2EFDA"/>
        <bgColor rgb="FFF5F8FA"/>
      </patternFill>
    </fill>
  </fills>
  <borders count="2">
    <border>
      <left/>
      <right/>
      <top/>
      <bottom/>
      <diagonal/>
    </border>
    <border>
      <left/>
      <right/>
      <top/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164" fontId="9" fillId="3" borderId="1" applyAlignment="1" pivotButton="0" quotePrefix="0" xfId="0">
      <alignment horizontal="center" vertical="bottom"/>
    </xf>
    <xf numFmtId="164" fontId="8" fillId="3" borderId="1" applyAlignment="1" pivotButton="0" quotePrefix="0" xfId="0">
      <alignment horizontal="center" vertical="bottom"/>
    </xf>
    <xf numFmtId="165" fontId="9" fillId="3" borderId="1" applyAlignment="1" pivotButton="0" quotePrefix="0" xfId="0">
      <alignment horizontal="center" vertical="bottom"/>
    </xf>
    <xf numFmtId="165" fontId="8" fillId="3" borderId="1" applyAlignment="1" pivotButton="0" quotePrefix="0" xfId="0">
      <alignment horizontal="center" vertical="bottom"/>
    </xf>
    <xf numFmtId="3" fontId="8" fillId="3" borderId="1" applyAlignment="1" pivotButton="0" quotePrefix="0" xfId="0">
      <alignment horizontal="center" vertical="bottom"/>
    </xf>
    <xf numFmtId="165" fontId="10" fillId="3" borderId="1" applyAlignment="1" pivotButton="0" quotePrefix="0" xfId="0">
      <alignment horizontal="center" vertical="bottom"/>
    </xf>
    <xf numFmtId="0" fontId="10" fillId="3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164" fontId="8" fillId="0" borderId="1" applyAlignment="1" pivotButton="0" quotePrefix="0" xfId="0">
      <alignment horizontal="center" vertical="bottom"/>
    </xf>
    <xf numFmtId="165" fontId="9" fillId="0" borderId="1" applyAlignment="1" pivotButton="0" quotePrefix="0" xfId="0">
      <alignment horizontal="center" vertical="bottom"/>
    </xf>
    <xf numFmtId="165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165" fontId="10" fillId="0" borderId="1" applyAlignment="1" pivotButton="0" quotePrefix="0" xfId="0">
      <alignment horizontal="center" vertical="bottom"/>
    </xf>
    <xf numFmtId="0" fontId="10" fillId="0" borderId="1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bottom"/>
    </xf>
    <xf numFmtId="0" fontId="10" fillId="5" borderId="1" applyAlignment="1" pivotButton="0" quotePrefix="0" xfId="0">
      <alignment horizontal="general" vertical="bottom"/>
    </xf>
    <xf numFmtId="165" fontId="8" fillId="5" borderId="1" applyAlignment="1" pivotButton="0" quotePrefix="0" xfId="0">
      <alignment horizontal="general" vertical="bottom"/>
    </xf>
    <xf numFmtId="165" fontId="13" fillId="5" borderId="1" applyAlignment="1" pivotButton="0" quotePrefix="0" xfId="0">
      <alignment horizontal="general" vertical="bottom"/>
    </xf>
    <xf numFmtId="166" fontId="8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164" fontId="9" fillId="3" borderId="1" applyAlignment="1" pivotButton="0" quotePrefix="0" xfId="0">
      <alignment horizontal="center" vertical="bottom"/>
    </xf>
    <xf numFmtId="164" fontId="8" fillId="3" borderId="1" applyAlignment="1" pivotButton="0" quotePrefix="0" xfId="0">
      <alignment horizontal="center" vertical="bottom"/>
    </xf>
    <xf numFmtId="165" fontId="9" fillId="3" borderId="1" applyAlignment="1" pivotButton="0" quotePrefix="0" xfId="0">
      <alignment horizontal="center" vertical="bottom"/>
    </xf>
    <xf numFmtId="165" fontId="8" fillId="3" borderId="1" applyAlignment="1" pivotButton="0" quotePrefix="0" xfId="0">
      <alignment horizontal="center" vertical="bottom"/>
    </xf>
    <xf numFmtId="3" fontId="8" fillId="3" borderId="1" applyAlignment="1" pivotButton="0" quotePrefix="0" xfId="0">
      <alignment horizontal="center" vertical="bottom"/>
    </xf>
    <xf numFmtId="165" fontId="10" fillId="3" borderId="1" applyAlignment="1" pivotButton="0" quotePrefix="0" xfId="0">
      <alignment horizontal="center" vertical="bottom"/>
    </xf>
    <xf numFmtId="0" fontId="10" fillId="3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164" fontId="8" fillId="0" borderId="1" applyAlignment="1" pivotButton="0" quotePrefix="0" xfId="0">
      <alignment horizontal="center" vertical="bottom"/>
    </xf>
    <xf numFmtId="165" fontId="9" fillId="0" borderId="1" applyAlignment="1" pivotButton="0" quotePrefix="0" xfId="0">
      <alignment horizontal="center" vertical="bottom"/>
    </xf>
    <xf numFmtId="165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165" fontId="10" fillId="0" borderId="1" applyAlignment="1" pivotButton="0" quotePrefix="0" xfId="0">
      <alignment horizontal="center" vertical="bottom"/>
    </xf>
    <xf numFmtId="0" fontId="10" fillId="0" borderId="1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bottom"/>
    </xf>
    <xf numFmtId="0" fontId="10" fillId="5" borderId="1" applyAlignment="1" pivotButton="0" quotePrefix="0" xfId="0">
      <alignment horizontal="general" vertical="bottom"/>
    </xf>
    <xf numFmtId="165" fontId="8" fillId="5" borderId="1" applyAlignment="1" pivotButton="0" quotePrefix="0" xfId="0">
      <alignment horizontal="general" vertical="bottom"/>
    </xf>
    <xf numFmtId="165" fontId="13" fillId="5" borderId="1" applyAlignment="1" pivotButton="0" quotePrefix="0" xfId="0">
      <alignment horizontal="general" vertical="bottom"/>
    </xf>
    <xf numFmtId="166" fontId="8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4B7991"/>
      <rgbColor rgb="FF9999FF"/>
      <rgbColor rgb="FF993366"/>
      <rgbColor rgb="FFF5F8FA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2E8B57"/>
      <rgbColor rgb="FF003300"/>
      <rgbColor rgb="FF333300"/>
      <rgbColor rgb="FF993300"/>
      <rgbColor rgb="FF993366"/>
      <rgbColor rgb="FF33556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Q4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22" customWidth="1" style="31" min="1" max="1"/>
    <col width="38" customWidth="1" style="31" min="2" max="2"/>
    <col width="9" customWidth="1" style="31" min="3" max="5"/>
    <col width="10" customWidth="1" style="31" min="6" max="6"/>
    <col width="9" customWidth="1" style="31" min="7" max="7"/>
    <col width="13" customWidth="1" style="31" min="8" max="11"/>
    <col width="11" customWidth="1" style="31" min="12" max="13"/>
    <col width="8" customWidth="1" style="31" min="14" max="14"/>
    <col hidden="1" width="13" customWidth="1" style="31" min="15" max="17"/>
  </cols>
  <sheetData>
    <row r="1" ht="30" customHeight="1" s="32">
      <c r="A1" s="33" t="inlineStr">
        <is>
          <t>Seatopia — Omega-3 Value Analysis ($ per Omega-3)</t>
        </is>
      </c>
    </row>
    <row r="2" ht="18" customHeight="1" s="32">
      <c r="A2" s="34" t="inlineStr">
        <is>
          <t>MSRP ÷ omega-3 content per package · All omega values derived from per-100g lab data · Seatopia Omega Standard</t>
        </is>
      </c>
    </row>
    <row r="4" ht="36" customHeight="1" s="32">
      <c r="A4" s="35" t="inlineStr">
        <is>
          <t>SKU</t>
        </is>
      </c>
      <c r="B4" s="35" t="inlineStr">
        <is>
          <t>Product</t>
        </is>
      </c>
      <c r="C4" s="35" t="inlineStr">
        <is>
          <t>Pkg (oz)</t>
        </is>
      </c>
      <c r="D4" s="35" t="inlineStr">
        <is>
          <t>Serv (oz)</t>
        </is>
      </c>
      <c r="E4" s="35" t="inlineStr">
        <is>
          <t>Servings
per Pkg</t>
        </is>
      </c>
      <c r="F4" s="35" t="inlineStr">
        <is>
          <t>MSRP</t>
        </is>
      </c>
      <c r="G4" s="35" t="inlineStr">
        <is>
          <t>$ per
Serving</t>
        </is>
      </c>
      <c r="H4" s="35" t="inlineStr">
        <is>
          <t>EPA+DHA
per Serv (mg)</t>
        </is>
      </c>
      <c r="I4" s="35" t="inlineStr">
        <is>
          <t>Total ω-3
per Serv (mg)</t>
        </is>
      </c>
      <c r="J4" s="35" t="inlineStr">
        <is>
          <t>EPA+DHA
per Pkg (mg)</t>
        </is>
      </c>
      <c r="K4" s="35" t="inlineStr">
        <is>
          <t>Total ω-3
per Pkg (mg)</t>
        </is>
      </c>
      <c r="L4" s="35" t="inlineStr">
        <is>
          <t>$ per 1g
EPA+DHA</t>
        </is>
      </c>
      <c r="M4" s="35" t="inlineStr">
        <is>
          <t>$ per 1g
Total ω-3</t>
        </is>
      </c>
      <c r="N4" s="35" t="inlineStr">
        <is>
          <t>Value
Rank</t>
        </is>
      </c>
    </row>
    <row r="5" ht="15" customHeight="1" s="32">
      <c r="A5" s="36" t="inlineStr">
        <is>
          <t>SF-MCA-KGS-SHP-001</t>
        </is>
      </c>
      <c r="B5" s="37" t="inlineStr">
        <is>
          <t>Mt. Cook, Alpine Salmon (7oz)</t>
        </is>
      </c>
      <c r="C5" s="38" t="n">
        <v>7</v>
      </c>
      <c r="D5" s="38" t="n">
        <v>7</v>
      </c>
      <c r="E5" s="39">
        <f>C5/D5</f>
        <v/>
      </c>
      <c r="F5" s="40" t="n">
        <v>21.99</v>
      </c>
      <c r="G5" s="41">
        <f>F5/E5</f>
        <v/>
      </c>
      <c r="H5" s="42">
        <f>(O5+P5)*(D5*28.3495)/100</f>
        <v/>
      </c>
      <c r="I5" s="42">
        <f>(O5+P5+Q5)*(D5*28.3495)/100</f>
        <v/>
      </c>
      <c r="J5" s="42">
        <f>(O5+P5)*(C5*28.3495)/100</f>
        <v/>
      </c>
      <c r="K5" s="42">
        <f>(O5+P5+Q5)*(C5*28.3495)/100</f>
        <v/>
      </c>
      <c r="L5" s="43">
        <f>IF(J5&gt;0, F5/(J5/1000), "-")</f>
        <v/>
      </c>
      <c r="M5" s="43">
        <f>IF(K5&gt;0, F5/(K5/1000), "-")</f>
        <v/>
      </c>
      <c r="N5" s="44">
        <f>RANK(L5,L$5:L$28,1)</f>
        <v/>
      </c>
      <c r="O5" s="31" t="n">
        <v>457</v>
      </c>
      <c r="P5" s="31" t="n">
        <v>862</v>
      </c>
      <c r="Q5" s="31" t="n">
        <v>1140</v>
      </c>
    </row>
    <row r="6" ht="15" customHeight="1" s="32">
      <c r="A6" s="45" t="inlineStr">
        <is>
          <t>SF-OKS-KGS-SHP-001</t>
        </is>
      </c>
      <c r="B6" s="46" t="inlineStr">
        <is>
          <t>Ora King, King Salmon (7.5oz)</t>
        </is>
      </c>
      <c r="C6" s="47" t="n">
        <v>7.5</v>
      </c>
      <c r="D6" s="47" t="n">
        <v>7.5</v>
      </c>
      <c r="E6" s="48">
        <f>C6/D6</f>
        <v/>
      </c>
      <c r="F6" s="49" t="n">
        <v>25.49</v>
      </c>
      <c r="G6" s="50">
        <f>F6/E6</f>
        <v/>
      </c>
      <c r="H6" s="51">
        <f>(O6+P6)*(D6*28.3495)/100</f>
        <v/>
      </c>
      <c r="I6" s="51">
        <f>(O6+P6+Q6)*(D6*28.3495)/100</f>
        <v/>
      </c>
      <c r="J6" s="51">
        <f>(O6+P6)*(C6*28.3495)/100</f>
        <v/>
      </c>
      <c r="K6" s="51">
        <f>(O6+P6+Q6)*(C6*28.3495)/100</f>
        <v/>
      </c>
      <c r="L6" s="52">
        <f>IF(J6&gt;0, F6/(J6/1000), "-")</f>
        <v/>
      </c>
      <c r="M6" s="52">
        <f>IF(K6&gt;0, F6/(K6/1000), "-")</f>
        <v/>
      </c>
      <c r="N6" s="53">
        <f>RANK(L6,L$5:L$28,1)</f>
        <v/>
      </c>
      <c r="O6" s="31" t="n">
        <v>536</v>
      </c>
      <c r="P6" s="31" t="n">
        <v>1070</v>
      </c>
      <c r="Q6" s="31" t="n">
        <v>1210</v>
      </c>
    </row>
    <row r="7" ht="15" customHeight="1" s="32">
      <c r="A7" s="36" t="inlineStr">
        <is>
          <t>SF-BGB-KGS-SHP-001</t>
        </is>
      </c>
      <c r="B7" s="37" t="inlineStr">
        <is>
          <t>Big Glory Bay, King Salmon (8oz)</t>
        </is>
      </c>
      <c r="C7" s="38" t="n">
        <v>8</v>
      </c>
      <c r="D7" s="38" t="n">
        <v>8</v>
      </c>
      <c r="E7" s="39">
        <f>C7/D7</f>
        <v/>
      </c>
      <c r="F7" s="40" t="n">
        <v>38.51</v>
      </c>
      <c r="G7" s="41">
        <f>F7/E7</f>
        <v/>
      </c>
      <c r="H7" s="42">
        <f>(O7+P7)*(D7*28.3495)/100</f>
        <v/>
      </c>
      <c r="I7" s="42">
        <f>(O7+P7+Q7)*(D7*28.3495)/100</f>
        <v/>
      </c>
      <c r="J7" s="42">
        <f>(O7+P7)*(C7*28.3495)/100</f>
        <v/>
      </c>
      <c r="K7" s="42">
        <f>(O7+P7+Q7)*(C7*28.3495)/100</f>
        <v/>
      </c>
      <c r="L7" s="43">
        <f>IF(J7&gt;0, F7/(J7/1000), "-")</f>
        <v/>
      </c>
      <c r="M7" s="43">
        <f>IF(K7&gt;0, F7/(K7/1000), "-")</f>
        <v/>
      </c>
      <c r="N7" s="44">
        <f>RANK(L7,L$5:L$28,1)</f>
        <v/>
      </c>
      <c r="O7" s="31" t="n">
        <v>546</v>
      </c>
      <c r="P7" s="31" t="n">
        <v>885</v>
      </c>
      <c r="Q7" s="31" t="n">
        <v>1050</v>
      </c>
    </row>
    <row r="8" ht="15" customHeight="1" s="32">
      <c r="A8" s="45" t="inlineStr">
        <is>
          <t>SF-BAK-ATS-SHP-002</t>
        </is>
      </c>
      <c r="B8" s="46" t="inlineStr">
        <is>
          <t>Bakkafrost, Atlantic Salmon (6oz)</t>
        </is>
      </c>
      <c r="C8" s="47" t="n">
        <v>6</v>
      </c>
      <c r="D8" s="47" t="n">
        <v>6</v>
      </c>
      <c r="E8" s="48">
        <f>C8/D8</f>
        <v/>
      </c>
      <c r="F8" s="49" t="n">
        <v>9.1</v>
      </c>
      <c r="G8" s="50">
        <f>F8/E8</f>
        <v/>
      </c>
      <c r="H8" s="51">
        <f>(O8+P8)*(D8*28.3495)/100</f>
        <v/>
      </c>
      <c r="I8" s="51">
        <f>(O8+P8+Q8)*(D8*28.3495)/100</f>
        <v/>
      </c>
      <c r="J8" s="51">
        <f>(O8+P8)*(C8*28.3495)/100</f>
        <v/>
      </c>
      <c r="K8" s="51">
        <f>(O8+P8+Q8)*(C8*28.3495)/100</f>
        <v/>
      </c>
      <c r="L8" s="52">
        <f>IF(J8&gt;0, F8/(J8/1000), "-")</f>
        <v/>
      </c>
      <c r="M8" s="52">
        <f>IF(K8&gt;0, F8/(K8/1000), "-")</f>
        <v/>
      </c>
      <c r="N8" s="53">
        <f>RANK(L8,L$5:L$28,1)</f>
        <v/>
      </c>
      <c r="O8" s="31" t="n">
        <v>471</v>
      </c>
      <c r="P8" s="31" t="n">
        <v>833</v>
      </c>
      <c r="Q8" s="31" t="n">
        <v>950</v>
      </c>
    </row>
    <row r="9" ht="15" customHeight="1" s="32">
      <c r="A9" s="36" t="inlineStr">
        <is>
          <t>SF-CLB-STT-SHP-002</t>
        </is>
      </c>
      <c r="B9" s="37" t="inlineStr">
        <is>
          <t>Caleta Bay, A&amp;I Steelhead Loin (12oz)</t>
        </is>
      </c>
      <c r="C9" s="38" t="n">
        <v>12</v>
      </c>
      <c r="D9" s="38" t="n">
        <v>6</v>
      </c>
      <c r="E9" s="39">
        <f>C9/D9</f>
        <v/>
      </c>
      <c r="F9" s="40" t="n">
        <v>20.15</v>
      </c>
      <c r="G9" s="41">
        <f>F9/E9</f>
        <v/>
      </c>
      <c r="H9" s="42">
        <f>(O9+P9)*(D9*28.3495)/100</f>
        <v/>
      </c>
      <c r="I9" s="42">
        <f>(O9+P9+Q9)*(D9*28.3495)/100</f>
        <v/>
      </c>
      <c r="J9" s="42">
        <f>(O9+P9)*(C9*28.3495)/100</f>
        <v/>
      </c>
      <c r="K9" s="42">
        <f>(O9+P9+Q9)*(C9*28.3495)/100</f>
        <v/>
      </c>
      <c r="L9" s="43">
        <f>IF(J9&gt;0, F9/(J9/1000), "-")</f>
        <v/>
      </c>
      <c r="M9" s="43">
        <f>IF(K9&gt;0, F9/(K9/1000), "-")</f>
        <v/>
      </c>
      <c r="N9" s="44">
        <f>RANK(L9,L$5:L$28,1)</f>
        <v/>
      </c>
      <c r="O9" s="31" t="n">
        <v>262</v>
      </c>
      <c r="P9" s="31" t="n">
        <v>589</v>
      </c>
      <c r="Q9" s="31" t="n">
        <v>1330</v>
      </c>
    </row>
    <row r="10" ht="15" customHeight="1" s="32">
      <c r="A10" s="45" t="inlineStr">
        <is>
          <t>SF-CLB-STT-SHP-001</t>
        </is>
      </c>
      <c r="B10" s="46" t="inlineStr">
        <is>
          <t>Caleta Bay, Cold Smoked Steelhead (4oz)</t>
        </is>
      </c>
      <c r="C10" s="47" t="n">
        <v>4</v>
      </c>
      <c r="D10" s="47" t="n">
        <v>4</v>
      </c>
      <c r="E10" s="48">
        <f>C10/D10</f>
        <v/>
      </c>
      <c r="F10" s="49" t="n">
        <v>8.039999999999999</v>
      </c>
      <c r="G10" s="50">
        <f>F10/E10</f>
        <v/>
      </c>
      <c r="H10" s="51">
        <f>(O10+P10)*(D10*28.3495)/100</f>
        <v/>
      </c>
      <c r="I10" s="51">
        <f>(O10+P10+Q10)*(D10*28.3495)/100</f>
        <v/>
      </c>
      <c r="J10" s="51">
        <f>(O10+P10)*(C10*28.3495)/100</f>
        <v/>
      </c>
      <c r="K10" s="51">
        <f>(O10+P10+Q10)*(C10*28.3495)/100</f>
        <v/>
      </c>
      <c r="L10" s="52">
        <f>IF(J10&gt;0, F10/(J10/1000), "-")</f>
        <v/>
      </c>
      <c r="M10" s="52">
        <f>IF(K10&gt;0, F10/(K10/1000), "-")</f>
        <v/>
      </c>
      <c r="N10" s="53">
        <f>RANK(L10,L$5:L$28,1)</f>
        <v/>
      </c>
      <c r="O10" s="31" t="n">
        <v>262</v>
      </c>
      <c r="P10" s="31" t="n">
        <v>589</v>
      </c>
      <c r="Q10" s="31" t="n">
        <v>1330</v>
      </c>
    </row>
    <row r="11" ht="15" customHeight="1" s="32">
      <c r="A11" s="36" t="inlineStr">
        <is>
          <t>SF-CLB-STT-SHP-009</t>
        </is>
      </c>
      <c r="B11" s="37" t="inlineStr">
        <is>
          <t>Caleta Bay, Steelhead (6oz)</t>
        </is>
      </c>
      <c r="C11" s="38" t="n">
        <v>6</v>
      </c>
      <c r="D11" s="38" t="n">
        <v>6</v>
      </c>
      <c r="E11" s="39">
        <f>C11/D11</f>
        <v/>
      </c>
      <c r="F11" s="40" t="n">
        <v>7.55</v>
      </c>
      <c r="G11" s="41">
        <f>F11/E11</f>
        <v/>
      </c>
      <c r="H11" s="42">
        <f>(O11+P11)*(D11*28.3495)/100</f>
        <v/>
      </c>
      <c r="I11" s="42">
        <f>(O11+P11+Q11)*(D11*28.3495)/100</f>
        <v/>
      </c>
      <c r="J11" s="42">
        <f>(O11+P11)*(C11*28.3495)/100</f>
        <v/>
      </c>
      <c r="K11" s="42">
        <f>(O11+P11+Q11)*(C11*28.3495)/100</f>
        <v/>
      </c>
      <c r="L11" s="43">
        <f>IF(J11&gt;0, F11/(J11/1000), "-")</f>
        <v/>
      </c>
      <c r="M11" s="43">
        <f>IF(K11&gt;0, F11/(K11/1000), "-")</f>
        <v/>
      </c>
      <c r="N11" s="44">
        <f>RANK(L11,L$5:L$28,1)</f>
        <v/>
      </c>
      <c r="O11" s="31" t="n">
        <v>262</v>
      </c>
      <c r="P11" s="31" t="n">
        <v>589</v>
      </c>
      <c r="Q11" s="31" t="n">
        <v>1330</v>
      </c>
    </row>
    <row r="12" ht="15" customHeight="1" s="32">
      <c r="A12" s="45" t="inlineStr">
        <is>
          <t>SF-TAR-BTS-SHP-001</t>
        </is>
      </c>
      <c r="B12" s="46" t="inlineStr">
        <is>
          <t>Tarakan, Black Tiger Shrimp (16oz)</t>
        </is>
      </c>
      <c r="C12" s="47" t="n">
        <v>16</v>
      </c>
      <c r="D12" s="47" t="n">
        <v>4</v>
      </c>
      <c r="E12" s="48">
        <f>C12/D12</f>
        <v/>
      </c>
      <c r="F12" s="49" t="n">
        <v>27.49</v>
      </c>
      <c r="G12" s="50">
        <f>F12/E12</f>
        <v/>
      </c>
      <c r="H12" s="51">
        <f>(O12+P12)*(D12*28.3495)/100</f>
        <v/>
      </c>
      <c r="I12" s="51">
        <f>(O12+P12+Q12)*(D12*28.3495)/100</f>
        <v/>
      </c>
      <c r="J12" s="51">
        <f>(O12+P12)*(C12*28.3495)/100</f>
        <v/>
      </c>
      <c r="K12" s="51">
        <f>(O12+P12+Q12)*(C12*28.3495)/100</f>
        <v/>
      </c>
      <c r="L12" s="52">
        <f>IF(J12&gt;0, F12/(J12/1000), "-")</f>
        <v/>
      </c>
      <c r="M12" s="52">
        <f>IF(K12&gt;0, F12/(K12/1000), "-")</f>
        <v/>
      </c>
      <c r="N12" s="53">
        <f>RANK(L12,L$5:L$28,1)</f>
        <v/>
      </c>
      <c r="O12" s="31" t="n">
        <v>15</v>
      </c>
      <c r="P12" s="31" t="n">
        <v>17</v>
      </c>
      <c r="Q12" s="31" t="n">
        <v>7</v>
      </c>
    </row>
    <row r="13" ht="15" customHeight="1" s="32">
      <c r="A13" s="36" t="inlineStr">
        <is>
          <t>SF-EST-BRZ-SHP-001</t>
        </is>
      </c>
      <c r="B13" s="37" t="inlineStr">
        <is>
          <t>Esteros Lubimar, Branzino (6oz)</t>
        </is>
      </c>
      <c r="C13" s="38" t="n">
        <v>6</v>
      </c>
      <c r="D13" s="38" t="n">
        <v>6</v>
      </c>
      <c r="E13" s="39">
        <f>C13/D13</f>
        <v/>
      </c>
      <c r="F13" s="40" t="n">
        <v>27.19</v>
      </c>
      <c r="G13" s="41">
        <f>F13/E13</f>
        <v/>
      </c>
      <c r="H13" s="42">
        <f>(O13+P13)*(D13*28.3495)/100</f>
        <v/>
      </c>
      <c r="I13" s="42">
        <f>(O13+P13+Q13)*(D13*28.3495)/100</f>
        <v/>
      </c>
      <c r="J13" s="42">
        <f>(O13+P13)*(C13*28.3495)/100</f>
        <v/>
      </c>
      <c r="K13" s="42">
        <f>(O13+P13+Q13)*(C13*28.3495)/100</f>
        <v/>
      </c>
      <c r="L13" s="43">
        <f>IF(J13&gt;0, F13/(J13/1000), "-")</f>
        <v/>
      </c>
      <c r="M13" s="43">
        <f>IF(K13&gt;0, F13/(K13/1000), "-")</f>
        <v/>
      </c>
      <c r="N13" s="44">
        <f>RANK(L13,L$5:L$28,1)</f>
        <v/>
      </c>
      <c r="O13" s="31" t="n">
        <v>304</v>
      </c>
      <c r="P13" s="31" t="n">
        <v>598</v>
      </c>
      <c r="Q13" s="31" t="n">
        <v>880</v>
      </c>
    </row>
    <row r="14" ht="15" customHeight="1" s="32">
      <c r="A14" s="45" t="inlineStr">
        <is>
          <t>SF-EST-BRE-SHP-001</t>
        </is>
      </c>
      <c r="B14" s="46" t="inlineStr">
        <is>
          <t>Esteros Lubimar, Bream (6oz)</t>
        </is>
      </c>
      <c r="C14" s="47" t="n">
        <v>6</v>
      </c>
      <c r="D14" s="47" t="n">
        <v>6</v>
      </c>
      <c r="E14" s="48">
        <f>C14/D14</f>
        <v/>
      </c>
      <c r="F14" s="49" t="n">
        <v>21.42</v>
      </c>
      <c r="G14" s="50">
        <f>F14/E14</f>
        <v/>
      </c>
      <c r="H14" s="51">
        <f>(O14+P14)*(D14*28.3495)/100</f>
        <v/>
      </c>
      <c r="I14" s="51">
        <f>(O14+P14+Q14)*(D14*28.3495)/100</f>
        <v/>
      </c>
      <c r="J14" s="51">
        <f>(O14+P14)*(C14*28.3495)/100</f>
        <v/>
      </c>
      <c r="K14" s="51">
        <f>(O14+P14+Q14)*(C14*28.3495)/100</f>
        <v/>
      </c>
      <c r="L14" s="52">
        <f>IF(J14&gt;0, F14/(J14/1000), "-")</f>
        <v/>
      </c>
      <c r="M14" s="52">
        <f>IF(K14&gt;0, F14/(K14/1000), "-")</f>
        <v/>
      </c>
      <c r="N14" s="53">
        <f>RANK(L14,L$5:L$28,1)</f>
        <v/>
      </c>
      <c r="O14" s="31" t="n">
        <v>195.6</v>
      </c>
      <c r="P14" s="31" t="n">
        <v>501.8</v>
      </c>
      <c r="Q14" s="31" t="n">
        <v>569</v>
      </c>
    </row>
    <row r="15" ht="15" customHeight="1" s="32">
      <c r="A15" s="36" t="inlineStr">
        <is>
          <t>SF-AUS-BRM-SHP-001</t>
        </is>
      </c>
      <c r="B15" s="37" t="inlineStr">
        <is>
          <t>Australis, Barramundi (6oz)</t>
        </is>
      </c>
      <c r="C15" s="38" t="n">
        <v>6</v>
      </c>
      <c r="D15" s="38" t="n">
        <v>6</v>
      </c>
      <c r="E15" s="39">
        <f>C15/D15</f>
        <v/>
      </c>
      <c r="F15" s="40" t="n">
        <v>8.32</v>
      </c>
      <c r="G15" s="41">
        <f>F15/E15</f>
        <v/>
      </c>
      <c r="H15" s="42">
        <f>(O15+P15)*(D15*28.3495)/100</f>
        <v/>
      </c>
      <c r="I15" s="42">
        <f>(O15+P15+Q15)*(D15*28.3495)/100</f>
        <v/>
      </c>
      <c r="J15" s="42">
        <f>(O15+P15)*(C15*28.3495)/100</f>
        <v/>
      </c>
      <c r="K15" s="42">
        <f>(O15+P15+Q15)*(C15*28.3495)/100</f>
        <v/>
      </c>
      <c r="L15" s="43">
        <f>IF(J15&gt;0, F15/(J15/1000), "-")</f>
        <v/>
      </c>
      <c r="M15" s="43">
        <f>IF(K15&gt;0, F15/(K15/1000), "-")</f>
        <v/>
      </c>
      <c r="N15" s="44">
        <f>RANK(L15,L$5:L$28,1)</f>
        <v/>
      </c>
      <c r="O15" s="31" t="n">
        <v>31</v>
      </c>
      <c r="P15" s="31" t="n">
        <v>92</v>
      </c>
      <c r="Q15" s="31" t="n">
        <v>33</v>
      </c>
    </row>
    <row r="16" ht="15" customHeight="1" s="32">
      <c r="A16" s="45" t="inlineStr">
        <is>
          <t>SF-AUS-BRM-SHP-005</t>
        </is>
      </c>
      <c r="B16" s="46" t="inlineStr">
        <is>
          <t>Australis, Barramundi (7-9oz)</t>
        </is>
      </c>
      <c r="C16" s="47" t="n">
        <v>8</v>
      </c>
      <c r="D16" s="47" t="n">
        <v>8</v>
      </c>
      <c r="E16" s="48">
        <f>C16/D16</f>
        <v/>
      </c>
      <c r="F16" s="49" t="n">
        <v>11.62</v>
      </c>
      <c r="G16" s="50">
        <f>F16/E16</f>
        <v/>
      </c>
      <c r="H16" s="51">
        <f>(O16+P16)*(D16*28.3495)/100</f>
        <v/>
      </c>
      <c r="I16" s="51">
        <f>(O16+P16+Q16)*(D16*28.3495)/100</f>
        <v/>
      </c>
      <c r="J16" s="51">
        <f>(O16+P16)*(C16*28.3495)/100</f>
        <v/>
      </c>
      <c r="K16" s="51">
        <f>(O16+P16+Q16)*(C16*28.3495)/100</f>
        <v/>
      </c>
      <c r="L16" s="52">
        <f>IF(J16&gt;0, F16/(J16/1000), "-")</f>
        <v/>
      </c>
      <c r="M16" s="52">
        <f>IF(K16&gt;0, F16/(K16/1000), "-")</f>
        <v/>
      </c>
      <c r="N16" s="53">
        <f>RANK(L16,L$5:L$28,1)</f>
        <v/>
      </c>
      <c r="O16" s="31" t="n">
        <v>31</v>
      </c>
      <c r="P16" s="31" t="n">
        <v>92</v>
      </c>
      <c r="Q16" s="31" t="n">
        <v>33</v>
      </c>
    </row>
    <row r="17" ht="15" customHeight="1" s="32">
      <c r="A17" s="36" t="inlineStr">
        <is>
          <t>SF-AUS-BRM-SHP-009</t>
        </is>
      </c>
      <c r="B17" s="37" t="inlineStr">
        <is>
          <t>Australis, Barramundi (3-5 filet)</t>
        </is>
      </c>
      <c r="C17" s="38" t="n">
        <v>4</v>
      </c>
      <c r="D17" s="38" t="n">
        <v>4</v>
      </c>
      <c r="E17" s="39">
        <f>C17/D17</f>
        <v/>
      </c>
      <c r="F17" s="40" t="n">
        <v>3.87</v>
      </c>
      <c r="G17" s="41">
        <f>F17/E17</f>
        <v/>
      </c>
      <c r="H17" s="42">
        <f>(O17+P17)*(D17*28.3495)/100</f>
        <v/>
      </c>
      <c r="I17" s="42">
        <f>(O17+P17+Q17)*(D17*28.3495)/100</f>
        <v/>
      </c>
      <c r="J17" s="42">
        <f>(O17+P17)*(C17*28.3495)/100</f>
        <v/>
      </c>
      <c r="K17" s="42">
        <f>(O17+P17+Q17)*(C17*28.3495)/100</f>
        <v/>
      </c>
      <c r="L17" s="43">
        <f>IF(J17&gt;0, F17/(J17/1000), "-")</f>
        <v/>
      </c>
      <c r="M17" s="43">
        <f>IF(K17&gt;0, F17/(K17/1000), "-")</f>
        <v/>
      </c>
      <c r="N17" s="44">
        <f>RANK(L17,L$5:L$28,1)</f>
        <v/>
      </c>
      <c r="O17" s="31" t="n">
        <v>31</v>
      </c>
      <c r="P17" s="31" t="n">
        <v>92</v>
      </c>
      <c r="Q17" s="31" t="n">
        <v>33</v>
      </c>
    </row>
    <row r="18" ht="15" customHeight="1" s="32">
      <c r="A18" s="45" t="inlineStr">
        <is>
          <t>SF-HVF-STT-BLK-003</t>
        </is>
      </c>
      <c r="B18" s="46" t="inlineStr">
        <is>
          <t>Hudson Valley, Pastrami Smoked (4oz)</t>
        </is>
      </c>
      <c r="C18" s="47" t="n">
        <v>4</v>
      </c>
      <c r="D18" s="47" t="n">
        <v>4</v>
      </c>
      <c r="E18" s="48">
        <f>C18/D18</f>
        <v/>
      </c>
      <c r="F18" s="49" t="n">
        <v>29.06</v>
      </c>
      <c r="G18" s="50">
        <f>F18/E18</f>
        <v/>
      </c>
      <c r="H18" s="51">
        <f>(O18+P18)*(D18*28.3495)/100</f>
        <v/>
      </c>
      <c r="I18" s="51">
        <f>(O18+P18+Q18)*(D18*28.3495)/100</f>
        <v/>
      </c>
      <c r="J18" s="51">
        <f>(O18+P18)*(C18*28.3495)/100</f>
        <v/>
      </c>
      <c r="K18" s="51">
        <f>(O18+P18+Q18)*(C18*28.3495)/100</f>
        <v/>
      </c>
      <c r="L18" s="52">
        <f>IF(J18&gt;0, F18/(J18/1000), "-")</f>
        <v/>
      </c>
      <c r="M18" s="52">
        <f>IF(K18&gt;0, F18/(K18/1000), "-")</f>
        <v/>
      </c>
      <c r="N18" s="53">
        <f>RANK(L18,L$5:L$28,1)</f>
        <v/>
      </c>
      <c r="O18" s="31" t="n">
        <v>376</v>
      </c>
      <c r="P18" s="31" t="n">
        <v>1040</v>
      </c>
      <c r="Q18" s="31" t="n">
        <v>1620</v>
      </c>
    </row>
    <row r="19" ht="15" customHeight="1" s="32">
      <c r="A19" s="36" t="inlineStr">
        <is>
          <t>SF-HVF-STT-SHP-001</t>
        </is>
      </c>
      <c r="B19" s="37" t="inlineStr">
        <is>
          <t>Hudson Valley, Steelhead (6oz)</t>
        </is>
      </c>
      <c r="C19" s="38" t="n">
        <v>6</v>
      </c>
      <c r="D19" s="38" t="n">
        <v>6</v>
      </c>
      <c r="E19" s="39">
        <f>C19/D19</f>
        <v/>
      </c>
      <c r="F19" s="40" t="n">
        <v>17.21</v>
      </c>
      <c r="G19" s="41">
        <f>F19/E19</f>
        <v/>
      </c>
      <c r="H19" s="42">
        <f>(O19+P19)*(D19*28.3495)/100</f>
        <v/>
      </c>
      <c r="I19" s="42">
        <f>(O19+P19+Q19)*(D19*28.3495)/100</f>
        <v/>
      </c>
      <c r="J19" s="42">
        <f>(O19+P19)*(C19*28.3495)/100</f>
        <v/>
      </c>
      <c r="K19" s="42">
        <f>(O19+P19+Q19)*(C19*28.3495)/100</f>
        <v/>
      </c>
      <c r="L19" s="43">
        <f>IF(J19&gt;0, F19/(J19/1000), "-")</f>
        <v/>
      </c>
      <c r="M19" s="43">
        <f>IF(K19&gt;0, F19/(K19/1000), "-")</f>
        <v/>
      </c>
      <c r="N19" s="44">
        <f>RANK(L19,L$5:L$28,1)</f>
        <v/>
      </c>
      <c r="O19" s="31" t="n">
        <v>376</v>
      </c>
      <c r="P19" s="31" t="n">
        <v>1040</v>
      </c>
      <c r="Q19" s="31" t="n">
        <v>1620</v>
      </c>
    </row>
    <row r="20" ht="15" customHeight="1" s="32">
      <c r="A20" s="45" t="inlineStr">
        <is>
          <t>SF-MCF-RBT-BLK-001</t>
        </is>
      </c>
      <c r="B20" s="46" t="inlineStr">
        <is>
          <t>McFarland Springs, Trout Dogs (12.8oz)</t>
        </is>
      </c>
      <c r="C20" s="47" t="n">
        <v>12.8</v>
      </c>
      <c r="D20" s="47" t="n">
        <v>3.2</v>
      </c>
      <c r="E20" s="48">
        <f>C20/D20</f>
        <v/>
      </c>
      <c r="F20" s="49" t="n">
        <v>39.34</v>
      </c>
      <c r="G20" s="50">
        <f>F20/E20</f>
        <v/>
      </c>
      <c r="H20" s="51">
        <f>(O20+P20)*(D20*28.3495)/100</f>
        <v/>
      </c>
      <c r="I20" s="51">
        <f>(O20+P20+Q20)*(D20*28.3495)/100</f>
        <v/>
      </c>
      <c r="J20" s="51">
        <f>(O20+P20)*(C20*28.3495)/100</f>
        <v/>
      </c>
      <c r="K20" s="51">
        <f>(O20+P20+Q20)*(C20*28.3495)/100</f>
        <v/>
      </c>
      <c r="L20" s="52">
        <f>IF(J20&gt;0, F20/(J20/1000), "-")</f>
        <v/>
      </c>
      <c r="M20" s="52">
        <f>IF(K20&gt;0, F20/(K20/1000), "-")</f>
        <v/>
      </c>
      <c r="N20" s="53">
        <f>RANK(L20,L$5:L$28,1)</f>
        <v/>
      </c>
      <c r="O20" s="31" t="n">
        <v>272</v>
      </c>
      <c r="P20" s="31" t="n">
        <v>668</v>
      </c>
      <c r="Q20" s="31" t="n">
        <v>1270</v>
      </c>
    </row>
    <row r="21" ht="15" customHeight="1" s="32">
      <c r="A21" s="36" t="inlineStr">
        <is>
          <t>SF-SEC-SCL-SHP-001</t>
        </is>
      </c>
      <c r="B21" s="37" t="inlineStr">
        <is>
          <t>Seacorp, Half Shell Scallops (7oz)</t>
        </is>
      </c>
      <c r="C21" s="38" t="n">
        <v>7</v>
      </c>
      <c r="D21" s="38" t="n">
        <v>3.5</v>
      </c>
      <c r="E21" s="39">
        <f>C21/D21</f>
        <v/>
      </c>
      <c r="F21" s="40" t="n">
        <v>21.55</v>
      </c>
      <c r="G21" s="41">
        <f>F21/E21</f>
        <v/>
      </c>
      <c r="H21" s="42">
        <f>(O21+P21)*(D21*28.3495)/100</f>
        <v/>
      </c>
      <c r="I21" s="42">
        <f>(O21+P21+Q21)*(D21*28.3495)/100</f>
        <v/>
      </c>
      <c r="J21" s="42">
        <f>(O21+P21)*(C21*28.3495)/100</f>
        <v/>
      </c>
      <c r="K21" s="42">
        <f>(O21+P21+Q21)*(C21*28.3495)/100</f>
        <v/>
      </c>
      <c r="L21" s="43">
        <f>IF(J21&gt;0, F21/(J21/1000), "-")</f>
        <v/>
      </c>
      <c r="M21" s="43">
        <f>IF(K21&gt;0, F21/(K21/1000), "-")</f>
        <v/>
      </c>
      <c r="N21" s="44">
        <f>RANK(L21,L$5:L$28,1)</f>
        <v/>
      </c>
      <c r="O21" s="31" t="n">
        <v>51</v>
      </c>
      <c r="P21" s="31" t="n">
        <v>35</v>
      </c>
      <c r="Q21" s="31" t="n">
        <v>3</v>
      </c>
    </row>
    <row r="22" ht="15" customHeight="1" s="32">
      <c r="A22" s="45" t="inlineStr">
        <is>
          <t>SF-SEC-SCL-SHP-009</t>
        </is>
      </c>
      <c r="B22" s="46" t="inlineStr">
        <is>
          <t>Seacorp, Scallop Meat (16oz)</t>
        </is>
      </c>
      <c r="C22" s="47" t="n">
        <v>16</v>
      </c>
      <c r="D22" s="47" t="n">
        <v>4</v>
      </c>
      <c r="E22" s="48">
        <f>C22/D22</f>
        <v/>
      </c>
      <c r="F22" s="49" t="n">
        <v>31.58</v>
      </c>
      <c r="G22" s="50">
        <f>F22/E22</f>
        <v/>
      </c>
      <c r="H22" s="51">
        <f>(O22+P22)*(D22*28.3495)/100</f>
        <v/>
      </c>
      <c r="I22" s="51">
        <f>(O22+P22+Q22)*(D22*28.3495)/100</f>
        <v/>
      </c>
      <c r="J22" s="51">
        <f>(O22+P22)*(C22*28.3495)/100</f>
        <v/>
      </c>
      <c r="K22" s="51">
        <f>(O22+P22+Q22)*(C22*28.3495)/100</f>
        <v/>
      </c>
      <c r="L22" s="52">
        <f>IF(J22&gt;0, F22/(J22/1000), "-")</f>
        <v/>
      </c>
      <c r="M22" s="52">
        <f>IF(K22&gt;0, F22/(K22/1000), "-")</f>
        <v/>
      </c>
      <c r="N22" s="53">
        <f>RANK(L22,L$5:L$28,1)</f>
        <v/>
      </c>
      <c r="O22" s="31" t="n">
        <v>51</v>
      </c>
      <c r="P22" s="31" t="n">
        <v>35</v>
      </c>
      <c r="Q22" s="31" t="n">
        <v>3</v>
      </c>
    </row>
    <row r="23" ht="15" customHeight="1" s="32">
      <c r="A23" s="36" t="inlineStr">
        <is>
          <t>SF-SIC-RBT-BLK-001</t>
        </is>
      </c>
      <c r="B23" s="37" t="inlineStr">
        <is>
          <t>Smoke in Chimneys, Whole Trout (12oz)</t>
        </is>
      </c>
      <c r="C23" s="38" t="n">
        <v>12</v>
      </c>
      <c r="D23" s="38" t="n">
        <v>6</v>
      </c>
      <c r="E23" s="39">
        <f>C23/D23</f>
        <v/>
      </c>
      <c r="F23" s="40" t="n">
        <v>48.77</v>
      </c>
      <c r="G23" s="41">
        <f>F23/E23</f>
        <v/>
      </c>
      <c r="H23" s="42">
        <f>(O23+P23)*(D23*28.3495)/100</f>
        <v/>
      </c>
      <c r="I23" s="42">
        <f>(O23+P23+Q23)*(D23*28.3495)/100</f>
        <v/>
      </c>
      <c r="J23" s="42">
        <f>(O23+P23)*(C23*28.3495)/100</f>
        <v/>
      </c>
      <c r="K23" s="42">
        <f>(O23+P23+Q23)*(C23*28.3495)/100</f>
        <v/>
      </c>
      <c r="L23" s="43">
        <f>IF(J23&gt;0, F23/(J23/1000), "-")</f>
        <v/>
      </c>
      <c r="M23" s="43">
        <f>IF(K23&gt;0, F23/(K23/1000), "-")</f>
        <v/>
      </c>
      <c r="N23" s="44">
        <f>RANK(L23,L$5:L$28,1)</f>
        <v/>
      </c>
      <c r="O23" s="31" t="n">
        <v>86</v>
      </c>
      <c r="P23" s="31" t="n">
        <v>404</v>
      </c>
      <c r="Q23" s="31" t="n">
        <v>33</v>
      </c>
    </row>
    <row r="24" ht="15" customHeight="1" s="32">
      <c r="A24" s="45" t="inlineStr">
        <is>
          <t>SF-SIC-RBT-BLK-006</t>
        </is>
      </c>
      <c r="B24" s="46" t="inlineStr">
        <is>
          <t>Smoke in Chimneys, Smoked Filet (5.5oz)</t>
        </is>
      </c>
      <c r="C24" s="47" t="n">
        <v>5.5</v>
      </c>
      <c r="D24" s="47" t="n">
        <v>5.5</v>
      </c>
      <c r="E24" s="48">
        <f>C24/D24</f>
        <v/>
      </c>
      <c r="F24" s="49" t="n">
        <v>29.98</v>
      </c>
      <c r="G24" s="50">
        <f>F24/E24</f>
        <v/>
      </c>
      <c r="H24" s="51">
        <f>(O24+P24)*(D24*28.3495)/100</f>
        <v/>
      </c>
      <c r="I24" s="51">
        <f>(O24+P24+Q24)*(D24*28.3495)/100</f>
        <v/>
      </c>
      <c r="J24" s="51">
        <f>(O24+P24)*(C24*28.3495)/100</f>
        <v/>
      </c>
      <c r="K24" s="51">
        <f>(O24+P24+Q24)*(C24*28.3495)/100</f>
        <v/>
      </c>
      <c r="L24" s="52">
        <f>IF(J24&gt;0, F24/(J24/1000), "-")</f>
        <v/>
      </c>
      <c r="M24" s="52">
        <f>IF(K24&gt;0, F24/(K24/1000), "-")</f>
        <v/>
      </c>
      <c r="N24" s="53">
        <f>RANK(L24,L$5:L$28,1)</f>
        <v/>
      </c>
      <c r="O24" s="31" t="n">
        <v>86</v>
      </c>
      <c r="P24" s="31" t="n">
        <v>404</v>
      </c>
      <c r="Q24" s="31" t="n">
        <v>33</v>
      </c>
    </row>
    <row r="25" ht="15" customHeight="1" s="32">
      <c r="A25" s="36" t="inlineStr">
        <is>
          <t>SF-SIC-RBT-BLK-005</t>
        </is>
      </c>
      <c r="B25" s="37" t="inlineStr">
        <is>
          <t>Smoke in Chimneys, Smoked Fillet (5.5oz)</t>
        </is>
      </c>
      <c r="C25" s="38" t="n">
        <v>5.5</v>
      </c>
      <c r="D25" s="38" t="n">
        <v>5.5</v>
      </c>
      <c r="E25" s="39">
        <f>C25/D25</f>
        <v/>
      </c>
      <c r="F25" s="40" t="n">
        <v>29.98</v>
      </c>
      <c r="G25" s="41">
        <f>F25/E25</f>
        <v/>
      </c>
      <c r="H25" s="42">
        <f>(O25+P25)*(D25*28.3495)/100</f>
        <v/>
      </c>
      <c r="I25" s="42">
        <f>(O25+P25+Q25)*(D25*28.3495)/100</f>
        <v/>
      </c>
      <c r="J25" s="42">
        <f>(O25+P25)*(C25*28.3495)/100</f>
        <v/>
      </c>
      <c r="K25" s="42">
        <f>(O25+P25+Q25)*(C25*28.3495)/100</f>
        <v/>
      </c>
      <c r="L25" s="43">
        <f>IF(J25&gt;0, F25/(J25/1000), "-")</f>
        <v/>
      </c>
      <c r="M25" s="43">
        <f>IF(K25&gt;0, F25/(K25/1000), "-")</f>
        <v/>
      </c>
      <c r="N25" s="44">
        <f>RANK(L25,L$5:L$28,1)</f>
        <v/>
      </c>
      <c r="O25" s="31" t="n">
        <v>86</v>
      </c>
      <c r="P25" s="31" t="n">
        <v>404</v>
      </c>
      <c r="Q25" s="31" t="n">
        <v>33</v>
      </c>
    </row>
    <row r="26" ht="15" customHeight="1" s="32">
      <c r="A26" s="45" t="inlineStr">
        <is>
          <t>SF-KFC-YLT-SHP-001</t>
        </is>
      </c>
      <c r="B26" s="46" t="inlineStr">
        <is>
          <t>Kingfish Co., Yellowtail (Split Loins 8oz)</t>
        </is>
      </c>
      <c r="C26" s="47" t="n">
        <v>8</v>
      </c>
      <c r="D26" s="47" t="n">
        <v>8</v>
      </c>
      <c r="E26" s="48">
        <f>C26/D26</f>
        <v/>
      </c>
      <c r="F26" s="49" t="n">
        <v>29.94</v>
      </c>
      <c r="G26" s="50">
        <f>F26/E26</f>
        <v/>
      </c>
      <c r="H26" s="51">
        <f>(O26+P26)*(D26*28.3495)/100</f>
        <v/>
      </c>
      <c r="I26" s="51">
        <f>(O26+P26+Q26)*(D26*28.3495)/100</f>
        <v/>
      </c>
      <c r="J26" s="51">
        <f>(O26+P26)*(C26*28.3495)/100</f>
        <v/>
      </c>
      <c r="K26" s="51">
        <f>(O26+P26+Q26)*(C26*28.3495)/100</f>
        <v/>
      </c>
      <c r="L26" s="52">
        <f>IF(J26&gt;0, F26/(J26/1000), "-")</f>
        <v/>
      </c>
      <c r="M26" s="52">
        <f>IF(K26&gt;0, F26/(K26/1000), "-")</f>
        <v/>
      </c>
      <c r="N26" s="53">
        <f>RANK(L26,L$5:L$28,1)</f>
        <v/>
      </c>
      <c r="O26" s="31" t="n">
        <v>187</v>
      </c>
      <c r="P26" s="31" t="n">
        <v>546</v>
      </c>
      <c r="Q26" s="31" t="n">
        <v>156</v>
      </c>
    </row>
    <row r="27" ht="15" customHeight="1" s="32">
      <c r="A27" s="36" t="inlineStr">
        <is>
          <t>SF-MAR-OST-BLK-001</t>
        </is>
      </c>
      <c r="B27" s="37" t="inlineStr">
        <is>
          <t>Marshallberg, Osetra Caviar (1oz)</t>
        </is>
      </c>
      <c r="C27" s="38" t="n">
        <v>1</v>
      </c>
      <c r="D27" s="38" t="n">
        <v>0.2</v>
      </c>
      <c r="E27" s="39">
        <f>C27/D27</f>
        <v/>
      </c>
      <c r="F27" s="40" t="n">
        <v>142.87</v>
      </c>
      <c r="G27" s="41">
        <f>F27/E27</f>
        <v/>
      </c>
      <c r="H27" s="42">
        <f>(O27+P27)*(D27*28.3495)/100</f>
        <v/>
      </c>
      <c r="I27" s="42">
        <f>(O27+P27+Q27)*(D27*28.3495)/100</f>
        <v/>
      </c>
      <c r="J27" s="42">
        <f>(O27+P27)*(C27*28.3495)/100</f>
        <v/>
      </c>
      <c r="K27" s="42">
        <f>(O27+P27+Q27)*(C27*28.3495)/100</f>
        <v/>
      </c>
      <c r="L27" s="43">
        <f>IF(J27&gt;0, F27/(J27/1000), "-")</f>
        <v/>
      </c>
      <c r="M27" s="43">
        <f>IF(K27&gt;0, F27/(K27/1000), "-")</f>
        <v/>
      </c>
      <c r="N27" s="44">
        <f>RANK(L27,L$5:L$28,1)</f>
        <v/>
      </c>
      <c r="O27" s="31" t="n">
        <v>497.8</v>
      </c>
      <c r="P27" s="31" t="n">
        <v>1250.7</v>
      </c>
      <c r="Q27" s="31" t="n">
        <v>161.7</v>
      </c>
    </row>
    <row r="28" ht="15" customHeight="1" s="32">
      <c r="A28" s="45" t="inlineStr">
        <is>
          <t>SF-YRV-SLC-BLK-001</t>
        </is>
      </c>
      <c r="B28" s="46" t="inlineStr">
        <is>
          <t>Yarra Valley, Salmon Caviar (1oz)</t>
        </is>
      </c>
      <c r="C28" s="47" t="n">
        <v>1</v>
      </c>
      <c r="D28" s="47" t="n">
        <v>0.2</v>
      </c>
      <c r="E28" s="48">
        <f>C28/D28</f>
        <v/>
      </c>
      <c r="F28" s="49" t="n">
        <v>25.49</v>
      </c>
      <c r="G28" s="50">
        <f>F28/E28</f>
        <v/>
      </c>
      <c r="H28" s="51">
        <f>(O28+P28)*(D28*28.3495)/100</f>
        <v/>
      </c>
      <c r="I28" s="51">
        <f>(O28+P28+Q28)*(D28*28.3495)/100</f>
        <v/>
      </c>
      <c r="J28" s="51">
        <f>(O28+P28)*(C28*28.3495)/100</f>
        <v/>
      </c>
      <c r="K28" s="51">
        <f>(O28+P28+Q28)*(C28*28.3495)/100</f>
        <v/>
      </c>
      <c r="L28" s="52">
        <f>IF(J28&gt;0, F28/(J28/1000), "-")</f>
        <v/>
      </c>
      <c r="M28" s="52">
        <f>IF(K28&gt;0, F28/(K28/1000), "-")</f>
        <v/>
      </c>
      <c r="N28" s="53">
        <f>RANK(L28,L$5:L$28,1)</f>
        <v/>
      </c>
      <c r="O28" s="31" t="n">
        <v>513.8</v>
      </c>
      <c r="P28" s="31" t="n">
        <v>2292.4</v>
      </c>
      <c r="Q28" s="31" t="n">
        <v>142.4</v>
      </c>
    </row>
    <row r="30" ht="24" customHeight="1" s="32">
      <c r="A30" s="54" t="inlineStr">
        <is>
          <t>Summary — Best Value by $ per 1g EPA+DHA (lower = better)</t>
        </is>
      </c>
    </row>
    <row r="31" ht="15" customHeight="1" s="32">
      <c r="A31" s="55" t="inlineStr">
        <is>
          <t>Rank</t>
        </is>
      </c>
      <c r="B31" s="55" t="inlineStr">
        <is>
          <t>Product</t>
        </is>
      </c>
      <c r="C31" s="55" t="inlineStr">
        <is>
          <t>MSRP</t>
        </is>
      </c>
      <c r="D31" s="55" t="inlineStr">
        <is>
          <t>$ / 1g EPA+DHA</t>
        </is>
      </c>
      <c r="E31" s="55" t="inlineStr">
        <is>
          <t>EPA+DHA / Serving</t>
        </is>
      </c>
      <c r="F31" s="55" t="inlineStr">
        <is>
          <t>$ / Serving</t>
        </is>
      </c>
    </row>
    <row r="32" ht="15" customHeight="1" s="32">
      <c r="A32" s="56" t="n">
        <v>1</v>
      </c>
      <c r="B32" s="57">
        <f>INDEX(B$5:B$28,MATCH(SMALL(L$5:L$28,1),L$5:L$28,0))</f>
        <v/>
      </c>
      <c r="C32" s="58">
        <f>INDEX(F$5:F$28,MATCH(SMALL(L$5:L$28,1),L$5:L$28,0))</f>
        <v/>
      </c>
      <c r="D32" s="59">
        <f>SMALL(L$5:L$28,1)</f>
        <v/>
      </c>
      <c r="E32" s="60">
        <f>INDEX(H$5:H$28,MATCH(SMALL(L$5:L$28,1),L$5:L$28,0))</f>
        <v/>
      </c>
      <c r="F32" s="58">
        <f>INDEX(G$5:G$28,MATCH(SMALL(L$5:L$28,1),L$5:L$28,0))</f>
        <v/>
      </c>
    </row>
    <row r="33" ht="15" customHeight="1" s="32">
      <c r="A33" s="56" t="n">
        <v>2</v>
      </c>
      <c r="B33" s="57">
        <f>INDEX(B$5:B$28,MATCH(SMALL(L$5:L$28,2),L$5:L$28,0))</f>
        <v/>
      </c>
      <c r="C33" s="58">
        <f>INDEX(F$5:F$28,MATCH(SMALL(L$5:L$28,2),L$5:L$28,0))</f>
        <v/>
      </c>
      <c r="D33" s="59">
        <f>SMALL(L$5:L$28,2)</f>
        <v/>
      </c>
      <c r="E33" s="60">
        <f>INDEX(H$5:H$28,MATCH(SMALL(L$5:L$28,2),L$5:L$28,0))</f>
        <v/>
      </c>
      <c r="F33" s="58">
        <f>INDEX(G$5:G$28,MATCH(SMALL(L$5:L$28,2),L$5:L$28,0))</f>
        <v/>
      </c>
    </row>
    <row r="34" ht="15" customHeight="1" s="32">
      <c r="A34" s="56" t="n">
        <v>3</v>
      </c>
      <c r="B34" s="57">
        <f>INDEX(B$5:B$28,MATCH(SMALL(L$5:L$28,3),L$5:L$28,0))</f>
        <v/>
      </c>
      <c r="C34" s="58">
        <f>INDEX(F$5:F$28,MATCH(SMALL(L$5:L$28,3),L$5:L$28,0))</f>
        <v/>
      </c>
      <c r="D34" s="59">
        <f>SMALL(L$5:L$28,3)</f>
        <v/>
      </c>
      <c r="E34" s="60">
        <f>INDEX(H$5:H$28,MATCH(SMALL(L$5:L$28,3),L$5:L$28,0))</f>
        <v/>
      </c>
      <c r="F34" s="58">
        <f>INDEX(G$5:G$28,MATCH(SMALL(L$5:L$28,3),L$5:L$28,0))</f>
        <v/>
      </c>
    </row>
    <row r="35" ht="15" customHeight="1" s="32">
      <c r="A35" s="56" t="n">
        <v>4</v>
      </c>
      <c r="B35" s="57">
        <f>INDEX(B$5:B$28,MATCH(SMALL(L$5:L$28,4),L$5:L$28,0))</f>
        <v/>
      </c>
      <c r="C35" s="58">
        <f>INDEX(F$5:F$28,MATCH(SMALL(L$5:L$28,4),L$5:L$28,0))</f>
        <v/>
      </c>
      <c r="D35" s="59">
        <f>SMALL(L$5:L$28,4)</f>
        <v/>
      </c>
      <c r="E35" s="60">
        <f>INDEX(H$5:H$28,MATCH(SMALL(L$5:L$28,4),L$5:L$28,0))</f>
        <v/>
      </c>
      <c r="F35" s="58">
        <f>INDEX(G$5:G$28,MATCH(SMALL(L$5:L$28,4),L$5:L$28,0))</f>
        <v/>
      </c>
    </row>
    <row r="36" ht="15" customHeight="1" s="32">
      <c r="A36" s="56" t="n">
        <v>5</v>
      </c>
      <c r="B36" s="57">
        <f>INDEX(B$5:B$28,MATCH(SMALL(L$5:L$28,5),L$5:L$28,0))</f>
        <v/>
      </c>
      <c r="C36" s="58">
        <f>INDEX(F$5:F$28,MATCH(SMALL(L$5:L$28,5),L$5:L$28,0))</f>
        <v/>
      </c>
      <c r="D36" s="59">
        <f>SMALL(L$5:L$28,5)</f>
        <v/>
      </c>
      <c r="E36" s="60">
        <f>INDEX(H$5:H$28,MATCH(SMALL(L$5:L$28,5),L$5:L$28,0))</f>
        <v/>
      </c>
      <c r="F36" s="58">
        <f>INDEX(G$5:G$28,MATCH(SMALL(L$5:L$28,5),L$5:L$28,0))</f>
        <v/>
      </c>
    </row>
    <row r="38" ht="15" customHeight="1" s="32">
      <c r="A38" s="61" t="inlineStr">
        <is>
          <t>Notes</t>
        </is>
      </c>
    </row>
    <row r="39" ht="15" customHeight="1" s="32">
      <c r="A39" s="62" t="inlineStr">
        <is>
          <t>• All omega-3 values derived from per-100g lab-verified data (Seatopia Omega Standard)</t>
        </is>
      </c>
    </row>
    <row r="40" ht="15" customHeight="1" s="32">
      <c r="A40" s="62" t="inlineStr">
        <is>
          <t>• EPA+DHA = marine omega-3 (primary bioactive). ALA = plant-form omega-3 (lower bioavailability)</t>
        </is>
      </c>
    </row>
    <row r="41" ht="15" customHeight="1" s="32">
      <c r="A41" s="62" t="inlineStr">
        <is>
          <t>• Blue values = inputs (editable). Black values = formulas. Change MSRP or serving size and values recalculate.</t>
        </is>
      </c>
    </row>
    <row r="42" ht="15" customHeight="1" s="32">
      <c r="A42" s="62" t="inlineStr">
        <is>
          <t>• $ per 1g EPA+DHA = cost to get 1 gram of marine omega-3 from this package at MSRP</t>
        </is>
      </c>
    </row>
  </sheetData>
  <mergeCells count="3">
    <mergeCell ref="A30:N30"/>
    <mergeCell ref="A2:N2"/>
    <mergeCell ref="A1:N1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2026-04-03T05:17:59Z</dcterms:created>
  <dcterms:modified xmlns:dcterms="http://purl.org/dc/terms/" xmlns:xsi="http://www.w3.org/2001/XMLSchema-instance" xsi:type="dcterms:W3CDTF">2026-05-12T21:11:13Z</dcterms:modified>
  <cp:revision>0</cp:revision>
</cp:coreProperties>
</file>